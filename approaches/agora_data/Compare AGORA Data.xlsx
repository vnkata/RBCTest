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ing" sheetId="1" r:id="rId4"/>
    <sheet state="visible" name="RestGen" sheetId="2" r:id="rId5"/>
    <sheet state="visible" name="GHCreateOrganizationRepository" sheetId="3" r:id="rId6"/>
    <sheet state="visible" name="GHGetOrganizationRepositories" sheetId="4" r:id="rId7"/>
    <sheet state="visible" name="Hotel Search" sheetId="5" r:id="rId8"/>
    <sheet state="visible" name="Marvel getComicById" sheetId="6" r:id="rId9"/>
    <sheet state="visible" name="OMDB byIdOrTitle" sheetId="7" r:id="rId10"/>
    <sheet state="visible" name="OMDB bySearch" sheetId="8" r:id="rId11"/>
    <sheet state="visible" name="Spotify createPlaylist" sheetId="9" r:id="rId12"/>
    <sheet state="visible" name="Spotify getAlbumTracks" sheetId="10" r:id="rId13"/>
    <sheet state="visible" name="Spotify getArtistAlbums" sheetId="11" r:id="rId14"/>
    <sheet state="visible" name="Yelp getBusinesses" sheetId="12" r:id="rId15"/>
    <sheet state="visible" name="Youtube GetVideos" sheetId="13" r:id="rId16"/>
  </sheets>
  <definedNames/>
  <calcPr/>
  <extLst>
    <ext uri="GoogleSheetsCustomDataVersion2">
      <go:sheetsCustomData xmlns:go="http://customooxmlschemas.google.com/" r:id="rId17" roundtripDataChecksum="SdUgn+tvyw70ZcjG3ayBtrHd6+ip+cKgqZgXMY5eoOY="/>
    </ext>
  </extLst>
</workbook>
</file>

<file path=xl/sharedStrings.xml><?xml version="1.0" encoding="utf-8"?>
<sst xmlns="http://schemas.openxmlformats.org/spreadsheetml/2006/main" count="837" uniqueCount="407">
  <si>
    <t>API</t>
  </si>
  <si>
    <t>RBC Test</t>
  </si>
  <si>
    <t>AGORA</t>
  </si>
  <si>
    <t>Overlapping</t>
  </si>
  <si>
    <t>Unique</t>
  </si>
  <si>
    <t>GT</t>
  </si>
  <si>
    <t>No.</t>
  </si>
  <si>
    <t>TP</t>
  </si>
  <si>
    <t>FN</t>
  </si>
  <si>
    <t>P</t>
  </si>
  <si>
    <t>Recall</t>
  </si>
  <si>
    <t>No.I</t>
  </si>
  <si>
    <t>R</t>
  </si>
  <si>
    <t>A</t>
  </si>
  <si>
    <t>=</t>
  </si>
  <si>
    <t>Github</t>
  </si>
  <si>
    <t>GHCreateOrganizationRepository</t>
  </si>
  <si>
    <t>Github'</t>
  </si>
  <si>
    <t>GHGetOrganizationRepositories</t>
  </si>
  <si>
    <t>A.Hotel</t>
  </si>
  <si>
    <t>Hotel Search</t>
  </si>
  <si>
    <t>Marvel</t>
  </si>
  <si>
    <t>Marvel getComicById</t>
  </si>
  <si>
    <t>OMDB</t>
  </si>
  <si>
    <t>OMDB byIdOrTitle</t>
  </si>
  <si>
    <t>OMDB'</t>
  </si>
  <si>
    <t>OMDB bySearch</t>
  </si>
  <si>
    <t>Spotify</t>
  </si>
  <si>
    <t>Spotify createPlaylist</t>
  </si>
  <si>
    <t>Spotify'</t>
  </si>
  <si>
    <t>Spotify getAlbumTracks</t>
  </si>
  <si>
    <t>Spotify''</t>
  </si>
  <si>
    <t>Spotify getArtistAlbums</t>
  </si>
  <si>
    <t>Yelp</t>
  </si>
  <si>
    <t>Yelp getBusinesses</t>
  </si>
  <si>
    <t>Youtube</t>
  </si>
  <si>
    <t>Youtube GetVideos</t>
  </si>
  <si>
    <t>Total</t>
  </si>
  <si>
    <t xml:space="preserve"> </t>
  </si>
  <si>
    <t xml:space="preserve">Rest Gen </t>
  </si>
  <si>
    <t>Test Out</t>
  </si>
  <si>
    <t xml:space="preserve"> FP </t>
  </si>
  <si>
    <t xml:space="preserve">FN </t>
  </si>
  <si>
    <t>P%</t>
  </si>
  <si>
    <t xml:space="preserve"> R%</t>
  </si>
  <si>
    <t xml:space="preserve"> F1%</t>
  </si>
  <si>
    <t xml:space="preserve">N  </t>
  </si>
  <si>
    <t>✓</t>
  </si>
  <si>
    <t xml:space="preserve">✓ </t>
  </si>
  <si>
    <t>×</t>
  </si>
  <si>
    <t>?</t>
  </si>
  <si>
    <t>Total Constraint</t>
  </si>
  <si>
    <t xml:space="preserve">Note: </t>
  </si>
  <si>
    <t>N (sô lượng constraint  tp =1)
✓(số lượng test case lọc đúng)
P% (match + unknown)/(N)
✓ (match)
× (unmatch)
? (unknown)</t>
  </si>
  <si>
    <t>endpoint</t>
  </si>
  <si>
    <t>group</t>
  </si>
  <si>
    <t>invariant</t>
  </si>
  <si>
    <t>description</t>
  </si>
  <si>
    <t>better</t>
  </si>
  <si>
    <t>post+orgs_{org}_repos</t>
  </si>
  <si>
    <t>archive_url</t>
  </si>
  <si>
    <t>return.archive_url is Url</t>
  </si>
  <si>
    <t>{"type": "string", "example": "http://api.github.com/repos/octocat/Hello-World/{archive_format}{/ref}"}</t>
  </si>
  <si>
    <t>assignees_url</t>
  </si>
  <si>
    <t>return.assignees_url is Url</t>
  </si>
  <si>
    <t>{"type": "string", "example": "http://api.github.com/repos/octocat/Hello-World/assignees{/user}"}</t>
  </si>
  <si>
    <t>blobs_url</t>
  </si>
  <si>
    <t>return.blobs_url is Url</t>
  </si>
  <si>
    <t>{"type": "string", "example": "http://api.github.com/repos/octocat/Hello-World/git/blobs{/sha}"}</t>
  </si>
  <si>
    <t>branches_url</t>
  </si>
  <si>
    <t>return.branches_url is Url</t>
  </si>
  <si>
    <t>{"type": "string", "example": "http://api.github.com/repos/octocat/Hello-World/branches{/branch}"}</t>
  </si>
  <si>
    <t>clone_url</t>
  </si>
  <si>
    <t>return.clone_url is Url</t>
  </si>
  <si>
    <t>{"type": "string", "example": "https://github.com/octocat/Hello-World.git"}</t>
  </si>
  <si>
    <t>collaborators_url</t>
  </si>
  <si>
    <t>return.collaborators_url is Url</t>
  </si>
  <si>
    <t>{"type": "string", "example": "http://api.github.com/repos/octocat/Hello-World/collaborators{/collaborator}"}</t>
  </si>
  <si>
    <t>comments_url</t>
  </si>
  <si>
    <t>return.comments_url is Url</t>
  </si>
  <si>
    <t>{"type": "string", "example": "http://api.github.com/repos/octocat/Hello-World/comments{/number}"}</t>
  </si>
  <si>
    <t>compare_url</t>
  </si>
  <si>
    <t>return.compare_url is Url</t>
  </si>
  <si>
    <t>{"type": "string", "example": "http://api.github.com/repos/octocat/Hello-World/compare/{base}...{head}"}</t>
  </si>
  <si>
    <t>created_at</t>
  </si>
  <si>
    <t>LENGTH(return.created_at)==20
 return.created_at is Timestamp. Format: YYYY-MM-DDTHH:MM:SS.mmZ (Miliseconds are optional)</t>
  </si>
  <si>
    <t>{"type": "string", "format": "date-time"}</t>
  </si>
  <si>
    <t>delete_branch_on_merge</t>
  </si>
  <si>
    <t>input.delete_branch_on_merge == return.delete_branch_on_merge</t>
  </si>
  <si>
    <t>Attribute delete_branch_on_merge is responded to by parameter delete_branch_on_merge with a description: Either `true` to allow automatically deleting head branches when pull requests are merged, or `false` to prevent automatic deletion</t>
  </si>
  <si>
    <t>deployments_url</t>
  </si>
  <si>
    <t>return.deployments_url is Url</t>
  </si>
  <si>
    <t>{"type": "string", "format": "uri"}</t>
  </si>
  <si>
    <t>input.description == return.description</t>
  </si>
  <si>
    <t>Attribute description is responded to by parameter description with a description: A short description of the repository</t>
  </si>
  <si>
    <t>downloads_url</t>
  </si>
  <si>
    <t>return.downloads_url is Url</t>
  </si>
  <si>
    <t>events_url</t>
  </si>
  <si>
    <t>return.events_url is Url</t>
  </si>
  <si>
    <t>forks_url</t>
  </si>
  <si>
    <t>return.forks_url is Url</t>
  </si>
  <si>
    <t>git_commits_url</t>
  </si>
  <si>
    <t>return.git_commits_url is Url</t>
  </si>
  <si>
    <t>{"type": "string", "example": "http://api.github.com/repos/octocat/Hello-World/git/commits{/sha}"}</t>
  </si>
  <si>
    <t>git_refs_url</t>
  </si>
  <si>
    <t>return.git_refs_url is Url</t>
  </si>
  <si>
    <t>{"type": "string", "example": "http://api.github.com/repos/octocat/Hello-World/git/refs{/sha}"}</t>
  </si>
  <si>
    <t>has_wiki</t>
  </si>
  <si>
    <t>input.has_wiki == return.has_wiki</t>
  </si>
  <si>
    <t>Attribute has_wiki is responded to by parameter has_wiki with a description: Either `true` to enable the wiki for this repository or `false` to disable it</t>
  </si>
  <si>
    <t>homepage</t>
  </si>
  <si>
    <t>input.homepage == return.homepage</t>
  </si>
  <si>
    <t>Attribute homepage is responded to by parameter homepage with a description: A URL with more information about the repository
 {"type": "string", "format": "uri"}</t>
  </si>
  <si>
    <t>hooks_url</t>
  </si>
  <si>
    <t>return.hooks_url is Url</t>
  </si>
  <si>
    <t>html_url</t>
  </si>
  <si>
    <t>return.html_url == return.svn_url
 return.html_url is Url
 return.html_url is a substring of return.clone_url</t>
  </si>
  <si>
    <t>issue_events_url</t>
  </si>
  <si>
    <t>return.issue_events_url is Url</t>
  </si>
  <si>
    <t>{"type": "string", "example": "http://api.github.com/repos/octocat/Hello-World/issues/events{/number}"}</t>
  </si>
  <si>
    <t>issues_url</t>
  </si>
  <si>
    <t>return.issues_url is Url</t>
  </si>
  <si>
    <t>{"type": "string", "example": "http://api.github.com/repos/octocat/Hello-World/issues{/number}"}</t>
  </si>
  <si>
    <t>languages_url</t>
  </si>
  <si>
    <t>return.languages_url is Url</t>
  </si>
  <si>
    <t>license.url</t>
  </si>
  <si>
    <t>return.license.url is Url
 input.license_template is a substring of return.license.url</t>
  </si>
  <si>
    <t>milestones_url</t>
  </si>
  <si>
    <t>return.milestones_url is Url</t>
  </si>
  <si>
    <t>{"type": "string", "example": "http://api.github.com/repos/octocat/Hello-World/milestones{/number}"}</t>
  </si>
  <si>
    <t>owner.events_url</t>
  </si>
  <si>
    <t>return.owner.events_url == return.organization.events_url
 return.owner.events_url is Url</t>
  </si>
  <si>
    <t>{"type": "string", "example": "https://api.github.com/users/octocat/events{/privacy}"}</t>
  </si>
  <si>
    <t>owner.followers_url</t>
  </si>
  <si>
    <t>return.owner.followers_url == return.organization.followers_url
 return.owner.followers_url is Url</t>
  </si>
  <si>
    <t>owner.following_url</t>
  </si>
  <si>
    <t>return.owner.following_url == return.organization.following_url
 return.owner.following_url is Url</t>
  </si>
  <si>
    <t>{"type": "string", "example": "https://api.github.com/users/octocat/following{/other_user}"}</t>
  </si>
  <si>
    <t>owner.gists_url</t>
  </si>
  <si>
    <t>return.owner.gists_url == return.organization.gists_url
 return.owner.gists_url is Url</t>
  </si>
  <si>
    <t>{"type": "string", "example": "https://api.github.com/users/octocat/gists{/gist_id}"}</t>
  </si>
  <si>
    <t>owner.html_url</t>
  </si>
  <si>
    <t>return.owner.html_url == return.organization.html_url
 return.owner.html_url is Url
 input.org is a substring of return.owner.html_url
 return.owner.html_url is a substring of return.html_url</t>
  </si>
  <si>
    <t>owner.organizations_url</t>
  </si>
  <si>
    <t>return.owner.organizations_url == return.organization.organizations_url
 return.owner.organizations_url is Url</t>
  </si>
  <si>
    <t>owner.received_events_url</t>
  </si>
  <si>
    <t>return.owner.received_events_url == return.organization.received_events_url
 return.owner.received_events_url is Url</t>
  </si>
  <si>
    <t>owner.repos_url</t>
  </si>
  <si>
    <t>return.owner.repos_url == return.organization.repos_url
 return.owner.repos_url is Url</t>
  </si>
  <si>
    <t>owner.starred_url</t>
  </si>
  <si>
    <t>return.owner.starred_url == return.organization.starred_url
 return.owner.starred_url is Url</t>
  </si>
  <si>
    <t>{"type": "string", "example": "https://api.github.com/users/octocat/starred{/owner}{/repo}"}</t>
  </si>
  <si>
    <t>owner.subscriptions_url</t>
  </si>
  <si>
    <t>return.owner.subscriptions_url == return.organization.subscriptions_url
 return.owner.subscriptions_url is Url</t>
  </si>
  <si>
    <t>owner.url</t>
  </si>
  <si>
    <t>return.owner.url == return.organization.url
 return.owner.url is Url
 input.org is a substring of return.owner.url
 return.owner.url is a substring of return.owner.followers_url
 return.owner.url is a substring of return.owner.following_url
 return.owner.url is a substring of return.owner.gists_url
 return.owner.url is a substring of return.owner.starred_url
 return.owner.url is a substring of return.owner.subscriptions_url
 return.owner.url is a substring of return.owner.organizations_url
 return.owner.url is a substring of return.owner.repos_url
 return.owner.url is a substring of return.owner.events_url
 return.owner.url is a substring of return.owner.received_events_url</t>
  </si>
  <si>
    <t>pulls_url</t>
  </si>
  <si>
    <t>return.pulls_url is Url</t>
  </si>
  <si>
    <t>{"type": "string", "example": "http://api.github.com/repos/octocat/Hello-World/pulls{/number}"}</t>
  </si>
  <si>
    <t>stargazers_url</t>
  </si>
  <si>
    <t>return.stargazers_url is Url</t>
  </si>
  <si>
    <t>statuses_url</t>
  </si>
  <si>
    <t>return.statuses_url is Url</t>
  </si>
  <si>
    <t>{"type": "string", "example": "http://api.github.com/repos/octocat/Hello-World/statuses/{sha}"}</t>
  </si>
  <si>
    <t>subscribers_url</t>
  </si>
  <si>
    <t>return.subscribers_url is Url</t>
  </si>
  <si>
    <t>subscription_url</t>
  </si>
  <si>
    <t>return.subscription_url is Url</t>
  </si>
  <si>
    <t>tags_url</t>
  </si>
  <si>
    <t>return.tags_url is Url</t>
  </si>
  <si>
    <t>teams_url</t>
  </si>
  <si>
    <t>return.teams_url is Url</t>
  </si>
  <si>
    <t>updated_at</t>
  </si>
  <si>
    <t>LENGTH(return.updated_at)==20
 return.updated_at is Timestamp. Format: YYYY-MM-DDTHH:MM:SS.mmZ (Miliseconds are optional)</t>
  </si>
  <si>
    <t>url</t>
  </si>
  <si>
    <t>return.url is Url
 return.url is a substring of return.archive_url
 return.url is a substring of return.assignees_url
 return.url is a substring of return.blobs_url
 return.url is a substring of return.branches_url
 return.url is a substring of return.collaborators_url
 return.url is a substring of return.comments_url
 return.url is a substring of return.commits_url
 return.url is a substring of return.compare_url
 return.url is a substring of return.contents_url
 return.url is a substring of return.contributors_url
 return.url is a substring of return.deployments_url
 return.url is a substring of return.downloads_url
 return.url is a substring of return.events_url
 return.url is a substring of return.forks_url
 return.url is a substring of return.git_commits_url
 return.url is a substring of return.git_refs_url
 return.url is a substring of return.git_tags_url
 return.url is a substring of return.issue_comment_url
 return.url is a substring of return.issue_events_url
 return.url is a substring of return.issues_url
 return.url is a substring of return.keys_url
 return.url is a substring of return.labels_url
 return.url is a substring of return.languages_url
 return.url is a substring of return.merges_url
 return.url is a substring of return.milestones_url
 return.url is a substring of return.notifications_url
 return.url is a substring of return.pulls_url
 return.url is a substring of return.releases_url
 return.url is a substring of return.stargazers_url
 return.url is a substring of return.statuses_url
 return.url is a substring of return.subscribers_url
 return.url is a substring of return.subscription_url
 return.url is a substring of return.tags_url
 return.url is a substring of return.teams_url
 return.url is a substring of return.trees_url
 return.url is a substring of return.hooks_url</t>
  </si>
  <si>
    <t>visibility</t>
  </si>
  <si>
    <t>input.visibility == return.visibility</t>
  </si>
  <si>
    <t>Attribute visibility is responded to by parameter repository with a description: Can be `public` or `private`. If your organization is associated with an enterprise account using GitHub Enterprise Cloud or GitHub Enterprise Server 2.20+, `visibility` can also be `internal`. Note: For GitHub Enterprise Server and GitHub AE, this endpoint will only list repositories available to all users on the enterprise. For more information, see "[Creating an internal repository](https://help.github.com/en/github/creating-cloning-and-archiving-repositories/about-repository-visibility#about-internal-repositories)" in the GitHub Help documentation. 
 The `visibility` parameter overrides the `private` parameter when you use both parameters with the `nebula-preview` preview header
 The repository visibility: public, private, or internal</t>
  </si>
  <si>
    <t>get+orgs_{org}_repos</t>
  </si>
  <si>
    <t>return.license.url is Url</t>
  </si>
  <si>
    <t>return.owner.events_url is Url</t>
  </si>
  <si>
    <t>return.owner.followers_url is Url</t>
  </si>
  <si>
    <t>return.owner.following_url is Url</t>
  </si>
  <si>
    <t>return.owner.gists_url is Url</t>
  </si>
  <si>
    <t>return.owner.html_url is Url
 return.owner.html_url is a substring of return.html_url</t>
  </si>
  <si>
    <t>return.owner.organizations_url is Url</t>
  </si>
  <si>
    <t>return.owner.received_events_url is Url</t>
  </si>
  <si>
    <t>return.owner.repos_url is Url</t>
  </si>
  <si>
    <t>return.owner.starred_url is Url</t>
  </si>
  <si>
    <t>return.owner.subscriptions_url is Url</t>
  </si>
  <si>
    <t>return.owner.url is Url
 return.owner.url is a substring of return.owner.followers_url
 return.owner.url is a substring of return.owner.following_url
 return.owner.url is a substring of return.owner.gists_url
 return.owner.url is a substring of return.owner.starred_url
 return.owner.url is a substring of return.owner.subscriptions_url
 return.owner.url is a substring of return.owner.organizations_url
 return.owner.url is a substring of return.owner.repos_url
 return.owner.url is a substring of return.owner.events_url
 return.owner.url is a substring of return.owner.received_events_url</t>
  </si>
  <si>
    <t>get+shopping_hotel-offers</t>
  </si>
  <si>
    <t>data.hotel.hotelId</t>
  </si>
  <si>
    <t>LENGTH(return.hotel.hotelId)==8
 return.hotel.hotelId in input.hotelIds[]
 return.hotel.chainCode is a substring of return.hotel.hotelId
 return.hotel.cityCode is a substring of return.hotel.hotelId</t>
  </si>
  <si>
    <t>Amadeus Property Code (8 chars</t>
  </si>
  <si>
    <t>data.offers.checkOutDate</t>
  </si>
  <si>
    <t>input.checkOutDate == return.checkOutDate
 return.checkOutDate is a Date. Format: YYYY/MM/DD</t>
  </si>
  <si>
    <t>Attribute checkOutDate is responded to by parameter checkOutDate with a description: Check-out date of the stay (hotel local date). Format YYYY-MM-DD. The lowest accepted value is checkInDate+1. If not present, it will default to checkInDate +1
 check-out date of the stay (hotel local date</t>
  </si>
  <si>
    <t>data.offers.guests.adults</t>
  </si>
  <si>
    <t>input.adults == return.guests.adults</t>
  </si>
  <si>
    <t>Attribute adults is responded to by parameter adults with a description: Number of adult guests (1-9) per room</t>
  </si>
  <si>
    <t>data.offers.id</t>
  </si>
  <si>
    <t>LENGTH(return.id)==10
 return.id is a substring of return.self</t>
  </si>
  <si>
    <t>Unique identifier of this offer. Might be valid for a temporary period only, schema: {"type": "string", "minLength": 2, "maxLength": 100}</t>
  </si>
  <si>
    <t>data.offers.price.taxes.currency</t>
  </si>
  <si>
    <t>LENGTH(return.currency)==3</t>
  </si>
  <si>
    <t>Defines a monetary unit. It is a three alpha code (iata code</t>
  </si>
  <si>
    <t>data.offers.price.total</t>
  </si>
  <si>
    <t>return.price.total is Numeric</t>
  </si>
  <si>
    <t>Attribute priceRange is responded to by parameter HotelProduct_HotelPrice with a description: Filter hotel offers by price per night interval (ex: 200-300 or -300 or 100).
 It is mandatory to include a currency when this field is set</t>
  </si>
  <si>
    <t>data.offers.price.variations.changes.endDate</t>
  </si>
  <si>
    <t>return.endDate is a Date. Format: YYYY/MM/DD</t>
  </si>
  <si>
    <t>End date of the period
 Format: YYYY-MM-DD, schema: {"type": "string", "format": "date"}</t>
  </si>
  <si>
    <t>data.offers.price.variations.changes.startDate</t>
  </si>
  <si>
    <t>return.startDate is a Date. Format: YYYY/MM/DD</t>
  </si>
  <si>
    <t>Begin date of the period
 Format: YYYY-MM-DD, schema: {"type": "string", "format": "date"}</t>
  </si>
  <si>
    <t>data.offers.room.type</t>
  </si>
  <si>
    <t>LENGTH(return.room.type)==3</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</si>
  <si>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</si>
  <si>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data.type</t>
  </si>
  <si>
    <t>return.type == "hotel-offers"
 LENGTH(return.type)==12
 return.type is a substring of return.self
 return.hotel.type is a substring of return.type</t>
  </si>
  <si>
    <t>the type of the object (hotel-offers</t>
  </si>
  <si>
    <t>get+v1_public_comics_{comicid}</t>
  </si>
  <si>
    <t>data.limit</t>
  </si>
  <si>
    <t>return.data.limit == 20</t>
  </si>
  <si>
    <t>The requested result limit, schema: {"type": "integer", "format": "int32"}</t>
  </si>
  <si>
    <t>data.results.creators.items.resourceURI</t>
  </si>
  <si>
    <t>return.resourceURI is Url</t>
  </si>
  <si>
    <t>The path to the individual creator resource</t>
  </si>
  <si>
    <t>data.results.diamondCode</t>
  </si>
  <si>
    <t>LENGTH(return.diamondCode)==9</t>
  </si>
  <si>
    <t>The Diamond code for the comic. schema: {"type": "string"} schema: {"type": "string"}</t>
  </si>
  <si>
    <t>data.results.id</t>
  </si>
  <si>
    <t>input.comicId == return.id</t>
  </si>
  <si>
    <t>Attribute comicId is responded to by parameter Comic with a description: A single comic
 The unique ID of the comic resource, schema: {"type": "integer", "format": "int32"}</t>
  </si>
  <si>
    <t>data.results.issn</t>
  </si>
  <si>
    <t>LENGTH(return.issn)==9</t>
  </si>
  <si>
    <t>The ISSN barcode for the comic</t>
  </si>
  <si>
    <t>data.results.resourceURI</t>
  </si>
  <si>
    <t>return.resourceURI is Url
 return.resourceURI is a substring of return.creators.collectionURI
 return.resourceURI is a substring of return.characters.collectionURI
 return.resourceURI is a substring of return.stories.collectionURI
 return.resourceURI is a substring of return.events.collectionURI</t>
  </si>
  <si>
    <t>The canonical URL identifier for this resource, schema: {"type": "string", "format": "uri"}</t>
  </si>
  <si>
    <t>data.results.urls.url</t>
  </si>
  <si>
    <t>return.url is Url</t>
  </si>
  <si>
    <t>A set of public web site URLs for the resource. schema: {"type": "array"} schema: {"type": "array"}</t>
  </si>
  <si>
    <t>data.total</t>
  </si>
  <si>
    <t>return.data.total == return.data.count
 return.data.total == size(return.data.results[])
 return.data.total == 1</t>
  </si>
  <si>
    <t>The total number of resources available given the current filter set, schema: {"type": "integer", "format": "int32"}</t>
  </si>
  <si>
    <t>get+</t>
  </si>
  <si>
    <t>DVD</t>
  </si>
  <si>
    <t>LENGTH(return.DVD)==11</t>
  </si>
  <si>
    <t>{"type": "string", "example": "01 Oct 2013"}</t>
  </si>
  <si>
    <t>Poster</t>
  </si>
  <si>
    <t>return.Poster is Url</t>
  </si>
  <si>
    <t>{"type": "string", "example": "https://m.media-amazon.com/images/M/MV5BMTQxODE3NjM1Ml5BMl5BanBnXkFtZTcwMzkzNjc4OA@@._V1_SX300.jpg"}</t>
  </si>
  <si>
    <t>Released</t>
  </si>
  <si>
    <t>LENGTH(return.Released)==11</t>
  </si>
  <si>
    <t>{"type": "string", "example": "12 Jun 2013"}</t>
  </si>
  <si>
    <t>Response</t>
  </si>
  <si>
    <t>return.Response == "True"
 LENGTH(return.Response)==4</t>
  </si>
  <si>
    <t>{"type": "string", "enum": ["True", "False"]}
 {"type": "string", "enum": ["True", "False"], "example": "True"} schema: {"type": "string", "enum": ["True", "False"], "example": "True"}</t>
  </si>
  <si>
    <t>Type</t>
  </si>
  <si>
    <t>return.Type one of { "episode", "movie", "series" }</t>
  </si>
  <si>
    <t>Attribute type is responded to by parameter Response with a description: Return movie, series or episode</t>
  </si>
  <si>
    <t>imdbID</t>
  </si>
  <si>
    <t>input.i == return.imdbID</t>
  </si>
  <si>
    <t>Attribute i is responded to by parameter Response with a description: A valid IMDb ID (e.g. tt0000001)
 {"type": "string", "example": "tt1245492"} schema: {"type": "string", "example": "tt1245492"}</t>
  </si>
  <si>
    <t>seriesID</t>
  </si>
  <si>
    <t>LENGTH(return.seriesID)==9</t>
  </si>
  <si>
    <t>{"type": "string", "example": "tt0341939"}</t>
  </si>
  <si>
    <t>{"type": "string", "enum": ["True", "False"]}</t>
  </si>
  <si>
    <t>Search.Poster</t>
  </si>
  <si>
    <t>totalResults</t>
  </si>
  <si>
    <t>return.totalResults is Numeric</t>
  </si>
  <si>
    <t>{"type": "string", "example": 2}</t>
  </si>
  <si>
    <t>post+users_{user_id}_playlists</t>
  </si>
  <si>
    <t>collaborative</t>
  </si>
  <si>
    <t>input.collaborative == return.collaborative</t>
  </si>
  <si>
    <t xml:space="preserve">Attribute collaborative is responded to by parameter collaborative with a description: True if the owner allows other users to modify the playlist
</t>
  </si>
  <si>
    <t xml:space="preserve">Attribute descriptionis responded to by parameter description with a description: The playlist description. Only returned for modified, verified playlists, otherwise null
</t>
  </si>
  <si>
    <t>href</t>
  </si>
  <si>
    <t>LENGTH(return.href)==59
 return.href is Url
 return.id is a substring of return.href
 return.href is a substring of return.tracks.href
 return.type is a substring of return.href</t>
  </si>
  <si>
    <t>A link to the Web API endpoint providing full details of the playlist</t>
  </si>
  <si>
    <t>name</t>
  </si>
  <si>
    <t>input.name == return.name</t>
  </si>
  <si>
    <t>owner.href</t>
  </si>
  <si>
    <t>return.owner.href is Url
 input.user_id is a substring of return.owner.href
 return.owner.type is a substring of return.owner.href</t>
  </si>
  <si>
    <t>A link to the Web API endpoint for this user</t>
  </si>
  <si>
    <t>owner.type</t>
  </si>
  <si>
    <t>return.owner.type == "user"
 LENGTH(return.owner.type)==4
 return.owner.type is a substring of return.owner.uri</t>
  </si>
  <si>
    <t>The object type: 'user'</t>
  </si>
  <si>
    <t>owner.uri</t>
  </si>
  <si>
    <t>input.user_id is a substring of return.owner.uri</t>
  </si>
  <si>
    <t>The Spotify URI for the user, schema: {"type": "string", "format": "uri"}</t>
  </si>
  <si>
    <t>public</t>
  </si>
  <si>
    <t>input.public == return.public</t>
  </si>
  <si>
    <t>Attribute public is responded to by parameter public with a description: The playlist description. Only returned for modified, verified playlists, otherwise null
 The playlist's public/private status: true the playlist is public, false the playlist is private, null the playlist status is not relevant. For more about public/private status, see Working with Playlists</t>
  </si>
  <si>
    <t>type</t>
  </si>
  <si>
    <t>return.type == "playlist"
 LENGTH(return.type)==8
 return.type is a substring of return.uri</t>
  </si>
  <si>
    <t>The object type: 'playlist'</t>
  </si>
  <si>
    <t>uri</t>
  </si>
  <si>
    <t>LENGTH(return.uri)==39</t>
  </si>
  <si>
    <t>Spotify URI of the playlist, schema: {"type": "string", "format": "uri"}</t>
  </si>
  <si>
    <t>get+albums_{id}_tracks</t>
  </si>
  <si>
    <t>items.artists.href</t>
  </si>
  <si>
    <t>LENGTH(return.href)==57
 return.href is Url
 return.id is a substring of return.href
 return.type is a substring of return.href</t>
  </si>
  <si>
    <t>A link to the Web API endpoint providing full details of the artist</t>
  </si>
  <si>
    <t>items.artists.type</t>
  </si>
  <si>
    <t>return.type == "artist"
 LENGTH(return.type)==6
 return.type is a substring of return.uri</t>
  </si>
  <si>
    <t>The object type: 'artist'</t>
  </si>
  <si>
    <t>items.artists.uri</t>
  </si>
  <si>
    <t>LENGTH(return.uri)==37</t>
  </si>
  <si>
    <t>The Spotify URI for the artist, schema: {"type": "string", "format": "uri"}</t>
  </si>
  <si>
    <t>items.available_markets</t>
  </si>
  <si>
    <t>All the elements of return.available_markets[] have LENGTH=2</t>
  </si>
  <si>
    <t>A list of the countries in which the track can be played, identified by their ISO 3166-1 alpha-2 code</t>
  </si>
  <si>
    <t>items.href</t>
  </si>
  <si>
    <t>LENGTH(return.href)==56
 return.href is Url
 return.id is a substring of return.href
 return.type is a substring of return.href</t>
  </si>
  <si>
    <t>A link to the Web API endpoint providing full details of the track</t>
  </si>
  <si>
    <t>items.preview_url</t>
  </si>
  <si>
    <t>LENGTH(return.preview_url)==107
 return.preview_url is Url</t>
  </si>
  <si>
    <t>A URL to a 30 second preview (MP3 format) of the track. schema: {"type": "string", "x-nullable": true} schema: {"type": "string", "x-nullable": true}</t>
  </si>
  <si>
    <t>items.type</t>
  </si>
  <si>
    <t>return.type == "track"
 LENGTH(return.type)==5
 return.type is a substring of return.uri</t>
  </si>
  <si>
    <t>The object type: 'track'</t>
  </si>
  <si>
    <t>limit</t>
  </si>
  <si>
    <t>input.limit == return.limit
 return.limit &gt;= size(return.items[])</t>
  </si>
  <si>
    <t>Attribute limit is responded to by parameter limit a description: The maximum number of items to return</t>
  </si>
  <si>
    <t>next</t>
  </si>
  <si>
    <t>return.next is Url
 input.id is a substring of return.next
 input.market is a substring of return.next</t>
  </si>
  <si>
    <t>URL to the next page of items. (null if none</t>
  </si>
  <si>
    <t>offset</t>
  </si>
  <si>
    <t>input.offset == return.offset
 return.offset &gt;= 0</t>
  </si>
  <si>
    <t>Attribute offset is responded to by parameter offset  with a description: The index of the first item to return</t>
  </si>
  <si>
    <t>previous</t>
  </si>
  <si>
    <t>return.previous is Url
 input.id is a substring of return.previous
 input.market is a substring of return.previous</t>
  </si>
  <si>
    <t>URL to the previous page of items. (null if none</t>
  </si>
  <si>
    <t>total</t>
  </si>
  <si>
    <t>return.total &gt;= 1
 return.total &gt;= size(return.items[])</t>
  </si>
  <si>
    <t>The total number of items available to return</t>
  </si>
  <si>
    <t>get+artists_{id}_albums</t>
  </si>
  <si>
    <t>items.album_type</t>
  </si>
  <si>
    <t>return.album_type one of { "album", "compilation", "single" }</t>
  </si>
  <si>
    <t>The type of the album: one of 'album', 'single', or 'compilation'</t>
  </si>
  <si>
    <t>A link to the Web API endpoint providing full details of the album</t>
  </si>
  <si>
    <t>items.id</t>
  </si>
  <si>
    <t>LENGTH(return.id)==22
 return.id is a substring of return.uri</t>
  </si>
  <si>
    <t>Attribute id is responded to by parameter id with a description: The Spotify ID for the artist</t>
  </si>
  <si>
    <t>items.images.url</t>
  </si>
  <si>
    <t>LENGTH(return.url)==64
 return.url is Url</t>
  </si>
  <si>
    <t>The source URL of the image, schema: {"type": "string", "format": "uri"}</t>
  </si>
  <si>
    <t>return.type == "album"
 LENGTH(return.type)==5
 return.type is a substring of return.uri</t>
  </si>
  <si>
    <t>The object type: 'album'</t>
  </si>
  <si>
    <t>items.uri</t>
  </si>
  <si>
    <t>LENGTH(return.uri)==36</t>
  </si>
  <si>
    <t>The Spotify URI for the album, schema: {"type": "string", "format": "uri"}</t>
  </si>
  <si>
    <t>Attribute offset is responded to by parameter album-simple-page with a description: The index of the first item to return</t>
  </si>
  <si>
    <t>bettter</t>
  </si>
  <si>
    <t>get+businesses_search</t>
  </si>
  <si>
    <t>businesses.url</t>
  </si>
  <si>
    <t>{"type": "string"} schema: {"type": "string"}</t>
  </si>
  <si>
    <t>get+youtube_v3_videos</t>
  </si>
  <si>
    <t>items.contentDetails.caption</t>
  </si>
  <si>
    <t>return.contentDetails.caption one of { "false", "true" }</t>
  </si>
  <si>
    <t>The value of captions indicates whether the video has captions or not, schema: {"type": "string", "enum": ["true", "false"]}</t>
  </si>
  <si>
    <t>items.contentDetails.dimension</t>
  </si>
  <si>
    <t>return.contentDetails.dimension one of { "2d", "3d" }
 LENGTH(return.contentDetails.dimension)==2</t>
  </si>
  <si>
    <t>The value of dimension indicates whether the video is available in 3D or in 2D</t>
  </si>
  <si>
    <t>items.kind</t>
  </si>
  <si>
    <t>return.kind == "youtube#video"
 LENGTH(return.kind)==13</t>
  </si>
  <si>
    <t>Identifies what kind of resource this is. Value: the fixed string "youtube#video"</t>
  </si>
  <si>
    <t>items.liveStreamingDetails.actualEndTime</t>
  </si>
  <si>
    <t>LENGTH(return.liveStreamingDetails.actualEndTime)==20
 return.liveStreamingDetails.actualEndTime is Timestamp. Format: YYYY-MM-DDTHH:MM:SS.mmZ (Miliseconds are optional)</t>
  </si>
  <si>
    <t>The time that the broadcast actually ended. This value will not be available until the broadcast is over, schema: {"type": "string", "format": "date-time"}</t>
  </si>
  <si>
    <t>items.liveStreamingDetails.actualStartTime</t>
  </si>
  <si>
    <t>LENGTH(return.liveStreamingDetails.actualStartTime)==20
 return.liveStreamingDetails.actualStartTime is Timestamp. Format: YYYY-MM-DDTHH:MM:SS.mmZ (Miliseconds are optional)</t>
  </si>
  <si>
    <t>The time that the broadcast actually started. This value will not be available until the broadcast begins, schema: {"type": "string", "format": "date-time"}</t>
  </si>
  <si>
    <t>items.liveStreamingDetails.scheduledStartTime</t>
  </si>
  <si>
    <t>LENGTH(return.liveStreamingDetails.scheduledStartTime)==20
 return.liveStreamingDetails.scheduledStartTime is Timestamp. Format: YYYY-MM-DDTHH:MM:SS.mmZ (Miliseconds are optional)</t>
  </si>
  <si>
    <t>The time that the broadcast is scheduled to begin, schema: {"type": "string", "format": "date-time"}</t>
  </si>
  <si>
    <t>items.player.embedHeight</t>
  </si>
  <si>
    <t>return.player.embedHeight is Numeric
 return.player.embedHeight is a substring of return.player.embedHtml</t>
  </si>
  <si>
    <t>{"type": "string", "format": "int64"}</t>
  </si>
  <si>
    <t>items.player.embedWidth</t>
  </si>
  <si>
    <t>return.player.embedWidth is Numeric</t>
  </si>
  <si>
    <t>The embed width, schema: {"type": "string", "format": "int64"}</t>
  </si>
  <si>
    <t>items.snippet.publishedAt</t>
  </si>
  <si>
    <t>LENGTH(return.snippet.publishedAt)==20
 return.snippet.publishedAt is Timestamp. Format: YYYY-MM-DDTHH:MM:SS.mmZ (Miliseconds are optional)</t>
  </si>
  <si>
    <t>The date and time when the video was uploaded, schema: {"type": "string", "format": "date-time"}</t>
  </si>
  <si>
    <t>items.statistics.commentCount</t>
  </si>
  <si>
    <t>return.statistics.commentCount is Numeric</t>
  </si>
  <si>
    <t>The number of comments for the video, schema: {"type": "string", "format": "uint64"}</t>
  </si>
  <si>
    <t>items.statistics.favoriteCount</t>
  </si>
  <si>
    <t>return.statistics.favoriteCount == "0"
 LENGTH(return.statistics.favoriteCount)==1
 return.statistics.favoriteCount is Numeric</t>
  </si>
  <si>
    <t>The number of users who currently have the video marked as a favorite video, schema: {"type": "string", "format": "uint64"}</t>
  </si>
  <si>
    <t>items.statistics.likeCount</t>
  </si>
  <si>
    <t>return.statistics.likeCount is Numeric</t>
  </si>
  <si>
    <t>The number of users who have indicated that they liked the video by giving it a positive rating, schema: {"type": "string", "format": "uint64"}</t>
  </si>
  <si>
    <t>items.statistics.viewCount</t>
  </si>
  <si>
    <t>return.statistics.viewCount is Numeric</t>
  </si>
  <si>
    <t>The number of times the video has been viewed, schema: {"type": "string", "format": "uint64"}</t>
  </si>
  <si>
    <t>kind</t>
  </si>
  <si>
    <t>return.kind == "youtube#videoListResponse"
 LENGTH(return.kind)==25</t>
  </si>
  <si>
    <t>Identifies what kind of resource this is. Value: the fixed string "youtube#videoListResponse"</t>
  </si>
  <si>
    <t>nextPageToken</t>
  </si>
  <si>
    <t>LENGTH(return.nextPageToken)==6</t>
  </si>
  <si>
    <t>Attribute pageToken is responded to by parameter VideoListResponse with a description: The *pageToken* parameter identifies a specific page in the result set that should be returned. In an API response, the nextPageToken and prevPageToken properties identify other pages that could be retrieved. *Note:* This parameter is supported for use in conjunction with the myRating and chart parameters, but it is not supported for use in conjunction with the id parameter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</si>
</sst>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theme="1"/>
      <name val="Calibri"/>
      <scheme val="minor"/>
    </font>
    <font>
      <color theme="1"/>
      <name val="Calibri"/>
      <scheme val="minor"/>
    </font>
    <font/>
    <font>
      <b/>
      <color theme="1"/>
      <name val="Calibri"/>
      <scheme val="minor"/>
    </font>
    <font>
      <sz val="11.0"/>
      <color theme="1"/>
      <name val="Calibri"/>
    </font>
    <font>
      <b/>
      <sz val="11.0"/>
      <color theme="1"/>
      <name val="Calibri"/>
    </font>
    <font>
      <sz val="11.0"/>
      <color rgb="FF000000"/>
      <name val="Calibri"/>
    </font>
    <font>
      <b/>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Font="1"/>
    <xf borderId="0" fillId="0" fontId="1" numFmtId="0" xfId="0" applyAlignment="1" applyFont="1">
      <alignment horizontal="center"/>
    </xf>
    <xf borderId="0" fillId="0" fontId="1" numFmtId="0" xfId="0" applyAlignment="1" applyFont="1">
      <alignment readingOrder="0"/>
    </xf>
    <xf borderId="0" fillId="0" fontId="1" numFmtId="3" xfId="0" applyFont="1" applyNumberFormat="1"/>
    <xf borderId="0" fillId="0" fontId="1" numFmtId="10" xfId="0" applyFont="1" applyNumberFormat="1"/>
    <xf quotePrefix="1" borderId="0" fillId="0" fontId="1" numFmtId="0" xfId="0" applyFont="1"/>
    <xf borderId="0" fillId="0" fontId="1" numFmtId="164" xfId="0" applyFont="1" applyNumberFormat="1"/>
    <xf borderId="0" fillId="0" fontId="1" numFmtId="0" xfId="0" applyFont="1"/>
    <xf borderId="1" fillId="2" fontId="1" numFmtId="0" xfId="0" applyAlignment="1" applyBorder="1" applyFill="1" applyFont="1">
      <alignment horizontal="center" readingOrder="0" vertical="center"/>
    </xf>
    <xf borderId="2" fillId="2" fontId="1" numFmtId="0" xfId="0" applyBorder="1" applyFont="1"/>
    <xf borderId="3" fillId="2" fontId="1" numFmtId="0" xfId="0" applyAlignment="1" applyBorder="1" applyFont="1">
      <alignment horizontal="center"/>
    </xf>
    <xf borderId="4" fillId="0" fontId="2" numFmtId="0" xfId="0" applyBorder="1" applyFont="1"/>
    <xf borderId="5" fillId="0" fontId="2" numFmtId="0" xfId="0" applyBorder="1" applyFont="1"/>
    <xf borderId="6" fillId="0" fontId="2" numFmtId="0" xfId="0" applyBorder="1" applyFont="1"/>
    <xf borderId="2" fillId="2" fontId="1" numFmtId="0" xfId="0" applyAlignment="1" applyBorder="1" applyFont="1">
      <alignment readingOrder="0"/>
    </xf>
    <xf borderId="2" fillId="2" fontId="1" numFmtId="3" xfId="0" applyBorder="1" applyFont="1" applyNumberFormat="1"/>
    <xf borderId="2" fillId="2" fontId="1" numFmtId="10" xfId="0" applyBorder="1" applyFont="1" applyNumberFormat="1"/>
    <xf quotePrefix="1" borderId="2" fillId="2" fontId="1" numFmtId="0" xfId="0" applyBorder="1" applyFont="1"/>
    <xf borderId="0" fillId="2" fontId="1" numFmtId="0" xfId="0" applyFont="1"/>
    <xf borderId="7" fillId="2" fontId="1" numFmtId="0" xfId="0" applyBorder="1" applyFont="1"/>
    <xf borderId="0" fillId="2" fontId="1" numFmtId="164" xfId="0" applyFont="1" applyNumberFormat="1"/>
    <xf borderId="8" fillId="2" fontId="1" numFmtId="164" xfId="0" applyBorder="1" applyFont="1" applyNumberFormat="1"/>
    <xf borderId="7" fillId="2" fontId="1" numFmtId="0" xfId="0" applyAlignment="1" applyBorder="1" applyFont="1">
      <alignment readingOrder="0"/>
    </xf>
    <xf borderId="0" fillId="2" fontId="1" numFmtId="0" xfId="0" applyAlignment="1" applyFont="1">
      <alignment readingOrder="0"/>
    </xf>
    <xf borderId="7" fillId="2" fontId="3" numFmtId="0" xfId="0" applyBorder="1" applyFont="1"/>
    <xf borderId="0" fillId="2" fontId="1" numFmtId="0" xfId="0" applyFont="1"/>
    <xf borderId="8" fillId="2" fontId="1" numFmtId="0" xfId="0" applyBorder="1" applyFont="1"/>
    <xf borderId="7" fillId="2" fontId="1" numFmtId="0" xfId="0" applyBorder="1" applyFont="1"/>
    <xf borderId="8" fillId="2" fontId="3" numFmtId="0" xfId="0" applyBorder="1" applyFont="1"/>
    <xf borderId="0" fillId="2" fontId="3" numFmtId="0" xfId="0" applyFont="1"/>
    <xf borderId="2" fillId="2" fontId="1" numFmtId="0" xfId="0" applyBorder="1" applyFont="1"/>
    <xf borderId="2" fillId="2" fontId="1" numFmtId="164" xfId="0" applyBorder="1" applyFont="1" applyNumberFormat="1"/>
    <xf borderId="2" fillId="2" fontId="3" numFmtId="0" xfId="0" applyBorder="1" applyFont="1"/>
    <xf borderId="2" fillId="0" fontId="4" numFmtId="0" xfId="0" applyAlignment="1" applyBorder="1" applyFont="1">
      <alignment vertical="bottom"/>
    </xf>
    <xf borderId="3" fillId="0" fontId="5" numFmtId="0" xfId="0" applyAlignment="1" applyBorder="1" applyFont="1">
      <alignment horizontal="center" readingOrder="0" vertical="bottom"/>
    </xf>
    <xf borderId="3" fillId="0" fontId="5" numFmtId="0" xfId="0" applyAlignment="1" applyBorder="1" applyFont="1">
      <alignment horizontal="center" vertical="bottom"/>
    </xf>
    <xf borderId="2" fillId="0" fontId="5" numFmtId="0" xfId="0" applyAlignment="1" applyBorder="1" applyFont="1">
      <alignment horizontal="center" vertical="bottom"/>
    </xf>
    <xf borderId="2" fillId="0" fontId="5" numFmtId="0" xfId="0" applyAlignment="1" applyBorder="1" applyFont="1">
      <alignment horizontal="center" vertical="bottom"/>
    </xf>
    <xf borderId="2" fillId="0" fontId="3" numFmtId="0" xfId="0" applyAlignment="1" applyBorder="1" applyFont="1">
      <alignment readingOrder="0"/>
    </xf>
    <xf borderId="2" fillId="0" fontId="5" numFmtId="0" xfId="0" applyAlignment="1" applyBorder="1" applyFont="1">
      <alignment vertical="bottom"/>
    </xf>
    <xf borderId="2" fillId="0" fontId="6" numFmtId="0" xfId="0" applyAlignment="1" applyBorder="1" applyFont="1">
      <alignment horizontal="right" readingOrder="0" shrinkToFit="0" vertical="bottom" wrapText="0"/>
    </xf>
    <xf borderId="2" fillId="0" fontId="4" numFmtId="0" xfId="0" applyAlignment="1" applyBorder="1" applyFont="1">
      <alignment horizontal="right" vertical="bottom"/>
    </xf>
    <xf borderId="2" fillId="2" fontId="4" numFmtId="0" xfId="0" applyAlignment="1" applyBorder="1" applyFont="1">
      <alignment horizontal="right" vertical="bottom"/>
    </xf>
    <xf borderId="2" fillId="0" fontId="4" numFmtId="164" xfId="0" applyAlignment="1" applyBorder="1" applyFont="1" applyNumberFormat="1">
      <alignment horizontal="right" vertical="bottom"/>
    </xf>
    <xf borderId="2" fillId="0" fontId="1" numFmtId="0" xfId="0" applyBorder="1" applyFont="1"/>
    <xf borderId="2" fillId="0" fontId="4" numFmtId="0" xfId="0" applyAlignment="1" applyBorder="1" applyFont="1">
      <alignment horizontal="right" readingOrder="0" vertical="bottom"/>
    </xf>
    <xf borderId="2" fillId="0" fontId="4" numFmtId="0" xfId="0" applyAlignment="1" applyBorder="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10" xfId="0" applyAlignment="1" applyFont="1" applyNumberFormat="1">
      <alignment horizontal="right" vertical="bottom"/>
    </xf>
    <xf borderId="0" fillId="0" fontId="4" numFmtId="0" xfId="0" applyAlignment="1" applyFont="1">
      <alignment horizontal="center" vertical="bottom"/>
    </xf>
    <xf borderId="0" fillId="0" fontId="4" numFmtId="0" xfId="0" applyAlignment="1" applyFont="1">
      <alignment vertical="bottom"/>
    </xf>
    <xf borderId="2" fillId="0" fontId="5" numFmtId="0" xfId="0" applyAlignment="1" applyBorder="1" applyFont="1">
      <alignment horizontal="center" vertical="top"/>
    </xf>
    <xf borderId="0" fillId="0" fontId="7"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6" numFmtId="0" xfId="0" applyAlignment="1" applyFont="1">
      <alignment readingOrder="0" vertical="bottom"/>
    </xf>
    <xf borderId="0" fillId="0" fontId="6" numFmtId="0" xfId="0" applyAlignment="1" applyFont="1">
      <alignment shrinkToFit="0" vertical="bottom" wrapText="0"/>
    </xf>
    <xf borderId="0" fillId="0" fontId="6" numFmtId="0" xfId="0" applyAlignment="1" applyFont="1">
      <alignment shrinkToFit="0" vertical="bottom" wrapText="0"/>
    </xf>
    <xf borderId="0" fillId="0" fontId="8" numFmtId="0" xfId="0" applyAlignment="1" applyFont="1">
      <alignment readingOrder="0" shrinkToFit="0" vertical="bottom" wrapText="0"/>
    </xf>
    <xf borderId="0" fillId="0" fontId="6" numFmtId="0" xfId="0" applyAlignment="1" applyFont="1">
      <alignment readingOrder="0" shrinkToFit="0" vertical="bottom" wrapText="0"/>
    </xf>
    <xf borderId="9" fillId="0" fontId="7" numFmtId="0" xfId="0" applyAlignment="1" applyBorder="1" applyFont="1">
      <alignment horizontal="center" readingOrder="0" shrinkToFit="0" vertical="top"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ata.offers.i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ata.results.i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items.id"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71"/>
    <col customWidth="1" hidden="1" min="2" max="2" width="35.43"/>
    <col customWidth="1" min="3" max="3" width="7.71"/>
    <col customWidth="1" min="4" max="6" width="6.14"/>
    <col customWidth="1" min="7" max="8" width="9.29"/>
    <col customWidth="1" min="9" max="12" width="8.86"/>
    <col customWidth="1" min="13" max="15" width="7.29"/>
    <col customWidth="1" min="16" max="17" width="7.86"/>
  </cols>
  <sheetData>
    <row r="1" hidden="1">
      <c r="A1" s="1" t="s">
        <v>0</v>
      </c>
      <c r="B1" s="2"/>
      <c r="C1" s="3" t="s">
        <v>1</v>
      </c>
      <c r="I1" s="3" t="s">
        <v>2</v>
      </c>
      <c r="M1" s="3" t="s">
        <v>3</v>
      </c>
      <c r="P1" s="3" t="s">
        <v>4</v>
      </c>
    </row>
    <row r="2" hidden="1">
      <c r="B2" s="2" t="s">
        <v>0</v>
      </c>
      <c r="C2" s="2" t="s">
        <v>5</v>
      </c>
      <c r="D2" s="4" t="s">
        <v>6</v>
      </c>
      <c r="E2" s="2" t="s">
        <v>7</v>
      </c>
      <c r="F2" s="5" t="s">
        <v>8</v>
      </c>
      <c r="G2" s="6" t="s">
        <v>9</v>
      </c>
      <c r="H2" s="6" t="s">
        <v>10</v>
      </c>
      <c r="I2" s="2" t="s">
        <v>11</v>
      </c>
      <c r="J2" s="4" t="s">
        <v>6</v>
      </c>
      <c r="K2" s="2" t="s">
        <v>7</v>
      </c>
      <c r="L2" s="6" t="s">
        <v>9</v>
      </c>
      <c r="M2" s="2" t="s">
        <v>12</v>
      </c>
      <c r="N2" s="2" t="s">
        <v>13</v>
      </c>
      <c r="O2" s="7" t="s">
        <v>14</v>
      </c>
      <c r="P2" s="2" t="s">
        <v>12</v>
      </c>
      <c r="Q2" s="2" t="s">
        <v>13</v>
      </c>
    </row>
    <row r="3" hidden="1">
      <c r="A3" s="2" t="s">
        <v>15</v>
      </c>
      <c r="B3" s="2" t="s">
        <v>16</v>
      </c>
      <c r="C3" s="2">
        <v>95.0</v>
      </c>
      <c r="D3" s="2">
        <v>90.0</v>
      </c>
      <c r="E3" s="2">
        <v>79.0</v>
      </c>
      <c r="F3" s="2">
        <v>16.0</v>
      </c>
      <c r="G3" s="8">
        <f t="shared" ref="G3:G13" si="1">E3/D3</f>
        <v>0.8777777778</v>
      </c>
      <c r="H3" s="8">
        <f t="shared" ref="H3:H13" si="2">E3/(F3+E3)</f>
        <v>0.8315789474</v>
      </c>
      <c r="I3" s="2">
        <v>198.0</v>
      </c>
      <c r="J3" s="2">
        <v>123.0</v>
      </c>
      <c r="K3" s="2">
        <v>120.0</v>
      </c>
      <c r="L3" s="8">
        <f t="shared" ref="L3:L14" si="3">K3/J3</f>
        <v>0.9756097561</v>
      </c>
      <c r="M3" s="9">
        <f t="shared" ref="M3:M13" si="4">COUNTIF(INDIRECT("'" &amp; B3 &amp; "'!$E$2:$E$1000"),1)</f>
        <v>5</v>
      </c>
      <c r="N3" s="9">
        <f t="shared" ref="N3:N13" si="5">COUNTIF(INDIRECT("'" &amp; B3 &amp; "'!$E$2:$E$1000"),-1)</f>
        <v>4</v>
      </c>
      <c r="O3" s="9">
        <f t="shared" ref="O3:O13" si="6">COUNTIF(INDIRECT("'" &amp; B3 &amp; "'!$E$2:$E$1000"),0)</f>
        <v>38</v>
      </c>
      <c r="P3" s="9">
        <f t="shared" ref="P3:P13" si="7">E3-O3-M3-N3</f>
        <v>32</v>
      </c>
      <c r="Q3" s="9">
        <f t="shared" ref="Q3:Q13" si="8">K3-O3-N3-M3</f>
        <v>73</v>
      </c>
    </row>
    <row r="4" hidden="1">
      <c r="A4" s="2" t="s">
        <v>17</v>
      </c>
      <c r="B4" s="2" t="s">
        <v>18</v>
      </c>
      <c r="C4" s="2">
        <v>154.0</v>
      </c>
      <c r="D4" s="2">
        <v>135.0</v>
      </c>
      <c r="E4" s="2">
        <v>127.0</v>
      </c>
      <c r="F4" s="2">
        <v>27.0</v>
      </c>
      <c r="G4" s="8">
        <f t="shared" si="1"/>
        <v>0.9407407407</v>
      </c>
      <c r="H4" s="8">
        <f t="shared" si="2"/>
        <v>0.8246753247</v>
      </c>
      <c r="I4" s="2">
        <v>150.0</v>
      </c>
      <c r="J4" s="2">
        <v>81.0</v>
      </c>
      <c r="K4" s="2">
        <v>66.0</v>
      </c>
      <c r="L4" s="8">
        <f t="shared" si="3"/>
        <v>0.8148148148</v>
      </c>
      <c r="M4" s="9">
        <f t="shared" si="4"/>
        <v>2</v>
      </c>
      <c r="N4" s="9">
        <f t="shared" si="5"/>
        <v>3</v>
      </c>
      <c r="O4" s="9">
        <f t="shared" si="6"/>
        <v>35</v>
      </c>
      <c r="P4" s="9">
        <f t="shared" si="7"/>
        <v>87</v>
      </c>
      <c r="Q4" s="9">
        <f t="shared" si="8"/>
        <v>26</v>
      </c>
    </row>
    <row r="5" hidden="1">
      <c r="A5" s="2" t="s">
        <v>19</v>
      </c>
      <c r="B5" s="2" t="s">
        <v>20</v>
      </c>
      <c r="C5" s="2">
        <v>45.0</v>
      </c>
      <c r="D5" s="2">
        <v>38.0</v>
      </c>
      <c r="E5" s="2">
        <v>29.0</v>
      </c>
      <c r="F5" s="2">
        <v>16.0</v>
      </c>
      <c r="G5" s="8">
        <f t="shared" si="1"/>
        <v>0.7631578947</v>
      </c>
      <c r="H5" s="8">
        <f t="shared" si="2"/>
        <v>0.6444444444</v>
      </c>
      <c r="I5" s="2">
        <v>117.0</v>
      </c>
      <c r="J5" s="2">
        <v>70.0</v>
      </c>
      <c r="K5" s="2">
        <v>33.0</v>
      </c>
      <c r="L5" s="8">
        <f t="shared" si="3"/>
        <v>0.4714285714</v>
      </c>
      <c r="M5" s="9">
        <f t="shared" si="4"/>
        <v>6</v>
      </c>
      <c r="N5" s="9">
        <f t="shared" si="5"/>
        <v>2</v>
      </c>
      <c r="O5" s="9">
        <f t="shared" si="6"/>
        <v>2</v>
      </c>
      <c r="P5" s="9">
        <f t="shared" si="7"/>
        <v>19</v>
      </c>
      <c r="Q5" s="9">
        <f t="shared" si="8"/>
        <v>23</v>
      </c>
    </row>
    <row r="6" hidden="1">
      <c r="A6" s="2" t="s">
        <v>21</v>
      </c>
      <c r="B6" s="2" t="s">
        <v>22</v>
      </c>
      <c r="C6" s="2">
        <v>39.0</v>
      </c>
      <c r="D6" s="2">
        <v>30.0</v>
      </c>
      <c r="E6" s="2">
        <v>26.0</v>
      </c>
      <c r="F6" s="2">
        <v>13.0</v>
      </c>
      <c r="G6" s="8">
        <f t="shared" si="1"/>
        <v>0.8666666667</v>
      </c>
      <c r="H6" s="8">
        <f t="shared" si="2"/>
        <v>0.6666666667</v>
      </c>
      <c r="I6" s="2">
        <v>115.0</v>
      </c>
      <c r="J6" s="2">
        <v>62.0</v>
      </c>
      <c r="K6" s="2">
        <v>33.0</v>
      </c>
      <c r="L6" s="8">
        <f t="shared" si="3"/>
        <v>0.5322580645</v>
      </c>
      <c r="M6" s="9">
        <f t="shared" si="4"/>
        <v>4</v>
      </c>
      <c r="N6" s="9">
        <f t="shared" si="5"/>
        <v>1</v>
      </c>
      <c r="O6" s="9">
        <f t="shared" si="6"/>
        <v>2</v>
      </c>
      <c r="P6" s="9">
        <f t="shared" si="7"/>
        <v>19</v>
      </c>
      <c r="Q6" s="9">
        <f t="shared" si="8"/>
        <v>26</v>
      </c>
    </row>
    <row r="7" hidden="1">
      <c r="A7" s="2" t="s">
        <v>23</v>
      </c>
      <c r="B7" s="2" t="s">
        <v>24</v>
      </c>
      <c r="C7" s="2">
        <v>15.0</v>
      </c>
      <c r="D7" s="2">
        <v>12.0</v>
      </c>
      <c r="E7" s="2">
        <v>12.0</v>
      </c>
      <c r="F7" s="2">
        <v>3.0</v>
      </c>
      <c r="G7" s="8">
        <f t="shared" si="1"/>
        <v>1</v>
      </c>
      <c r="H7" s="8">
        <f t="shared" si="2"/>
        <v>0.8</v>
      </c>
      <c r="I7" s="2">
        <v>16.0</v>
      </c>
      <c r="J7" s="2">
        <v>15.0</v>
      </c>
      <c r="K7" s="2">
        <v>14.0</v>
      </c>
      <c r="L7" s="8">
        <f t="shared" si="3"/>
        <v>0.9333333333</v>
      </c>
      <c r="M7" s="9">
        <f t="shared" si="4"/>
        <v>3</v>
      </c>
      <c r="N7" s="9">
        <f t="shared" si="5"/>
        <v>1</v>
      </c>
      <c r="O7" s="9">
        <f t="shared" si="6"/>
        <v>3</v>
      </c>
      <c r="P7" s="9">
        <f t="shared" si="7"/>
        <v>5</v>
      </c>
      <c r="Q7" s="9">
        <f t="shared" si="8"/>
        <v>7</v>
      </c>
    </row>
    <row r="8" hidden="1">
      <c r="A8" s="2" t="s">
        <v>25</v>
      </c>
      <c r="B8" s="2" t="s">
        <v>26</v>
      </c>
      <c r="C8" s="2">
        <v>6.0</v>
      </c>
      <c r="D8" s="2">
        <v>7.0</v>
      </c>
      <c r="E8" s="2">
        <v>6.0</v>
      </c>
      <c r="F8" s="2">
        <v>0.0</v>
      </c>
      <c r="G8" s="8">
        <f t="shared" si="1"/>
        <v>0.8571428571</v>
      </c>
      <c r="H8" s="8">
        <f t="shared" si="2"/>
        <v>1</v>
      </c>
      <c r="I8" s="2">
        <v>5.0</v>
      </c>
      <c r="J8" s="2">
        <v>4.0</v>
      </c>
      <c r="K8" s="2">
        <v>4.0</v>
      </c>
      <c r="L8" s="8">
        <f t="shared" si="3"/>
        <v>1</v>
      </c>
      <c r="M8" s="9">
        <f t="shared" si="4"/>
        <v>1</v>
      </c>
      <c r="N8" s="9">
        <f t="shared" si="5"/>
        <v>1</v>
      </c>
      <c r="O8" s="9">
        <f t="shared" si="6"/>
        <v>1</v>
      </c>
      <c r="P8" s="9">
        <f t="shared" si="7"/>
        <v>3</v>
      </c>
      <c r="Q8" s="9">
        <f t="shared" si="8"/>
        <v>1</v>
      </c>
    </row>
    <row r="9" hidden="1">
      <c r="A9" s="2" t="s">
        <v>27</v>
      </c>
      <c r="B9" s="2" t="s">
        <v>28</v>
      </c>
      <c r="C9" s="2">
        <v>25.0</v>
      </c>
      <c r="D9" s="2">
        <v>24.0</v>
      </c>
      <c r="E9" s="2">
        <v>19.0</v>
      </c>
      <c r="F9" s="2">
        <v>6.0</v>
      </c>
      <c r="G9" s="8">
        <f t="shared" si="1"/>
        <v>0.7916666667</v>
      </c>
      <c r="H9" s="8">
        <f t="shared" si="2"/>
        <v>0.76</v>
      </c>
      <c r="I9" s="2">
        <v>41.0</v>
      </c>
      <c r="J9" s="2">
        <v>22.0</v>
      </c>
      <c r="K9" s="2">
        <v>22.0</v>
      </c>
      <c r="L9" s="8">
        <f t="shared" si="3"/>
        <v>1</v>
      </c>
      <c r="M9" s="9">
        <f t="shared" si="4"/>
        <v>7</v>
      </c>
      <c r="N9" s="9">
        <f t="shared" si="5"/>
        <v>1</v>
      </c>
      <c r="O9" s="9">
        <f t="shared" si="6"/>
        <v>2</v>
      </c>
      <c r="P9" s="9">
        <f t="shared" si="7"/>
        <v>9</v>
      </c>
      <c r="Q9" s="9">
        <f t="shared" si="8"/>
        <v>12</v>
      </c>
    </row>
    <row r="10" hidden="1">
      <c r="A10" s="2" t="s">
        <v>29</v>
      </c>
      <c r="B10" s="2" t="s">
        <v>30</v>
      </c>
      <c r="C10" s="2">
        <v>25.0</v>
      </c>
      <c r="D10" s="2">
        <v>19.0</v>
      </c>
      <c r="E10" s="2">
        <v>19.0</v>
      </c>
      <c r="F10" s="2">
        <v>6.0</v>
      </c>
      <c r="G10" s="8">
        <f t="shared" si="1"/>
        <v>1</v>
      </c>
      <c r="H10" s="8">
        <f t="shared" si="2"/>
        <v>0.76</v>
      </c>
      <c r="I10" s="2">
        <v>68.0</v>
      </c>
      <c r="J10" s="2">
        <v>27.0</v>
      </c>
      <c r="K10" s="2">
        <v>21.0</v>
      </c>
      <c r="L10" s="8">
        <f t="shared" si="3"/>
        <v>0.7777777778</v>
      </c>
      <c r="M10" s="9">
        <f t="shared" si="4"/>
        <v>2</v>
      </c>
      <c r="N10" s="9">
        <f t="shared" si="5"/>
        <v>6</v>
      </c>
      <c r="O10" s="9">
        <f t="shared" si="6"/>
        <v>4</v>
      </c>
      <c r="P10" s="9">
        <f t="shared" si="7"/>
        <v>7</v>
      </c>
      <c r="Q10" s="9">
        <f t="shared" si="8"/>
        <v>9</v>
      </c>
    </row>
    <row r="11" hidden="1">
      <c r="A11" s="2" t="s">
        <v>31</v>
      </c>
      <c r="B11" s="2" t="s">
        <v>32</v>
      </c>
      <c r="C11" s="2">
        <v>17.0</v>
      </c>
      <c r="D11" s="2">
        <v>18.0</v>
      </c>
      <c r="E11" s="2">
        <v>16.0</v>
      </c>
      <c r="F11" s="2">
        <v>1.0</v>
      </c>
      <c r="G11" s="8">
        <f t="shared" si="1"/>
        <v>0.8888888889</v>
      </c>
      <c r="H11" s="8">
        <f t="shared" si="2"/>
        <v>0.9411764706</v>
      </c>
      <c r="I11" s="2">
        <v>55.0</v>
      </c>
      <c r="J11" s="2">
        <v>25.0</v>
      </c>
      <c r="K11" s="2">
        <v>18.0</v>
      </c>
      <c r="L11" s="8">
        <f t="shared" si="3"/>
        <v>0.72</v>
      </c>
      <c r="M11" s="9">
        <f t="shared" si="4"/>
        <v>0</v>
      </c>
      <c r="N11" s="9">
        <f t="shared" si="5"/>
        <v>3</v>
      </c>
      <c r="O11" s="9">
        <f t="shared" si="6"/>
        <v>9</v>
      </c>
      <c r="P11" s="9">
        <f t="shared" si="7"/>
        <v>4</v>
      </c>
      <c r="Q11" s="9">
        <f t="shared" si="8"/>
        <v>6</v>
      </c>
    </row>
    <row r="12" hidden="1">
      <c r="A12" s="2" t="s">
        <v>33</v>
      </c>
      <c r="B12" s="2" t="s">
        <v>34</v>
      </c>
      <c r="C12" s="2">
        <v>4.0</v>
      </c>
      <c r="D12" s="2">
        <v>5.0</v>
      </c>
      <c r="E12" s="2">
        <v>4.0</v>
      </c>
      <c r="F12" s="2">
        <v>0.0</v>
      </c>
      <c r="G12" s="8">
        <f t="shared" si="1"/>
        <v>0.8</v>
      </c>
      <c r="H12" s="8">
        <f t="shared" si="2"/>
        <v>1</v>
      </c>
      <c r="I12" s="2">
        <v>30.0</v>
      </c>
      <c r="J12" s="2">
        <v>14.0</v>
      </c>
      <c r="K12" s="2">
        <v>4.0</v>
      </c>
      <c r="L12" s="8">
        <f t="shared" si="3"/>
        <v>0.2857142857</v>
      </c>
      <c r="M12" s="9">
        <f t="shared" si="4"/>
        <v>0</v>
      </c>
      <c r="N12" s="9">
        <f t="shared" si="5"/>
        <v>0</v>
      </c>
      <c r="O12" s="9">
        <f t="shared" si="6"/>
        <v>1</v>
      </c>
      <c r="P12" s="9">
        <f t="shared" si="7"/>
        <v>3</v>
      </c>
      <c r="Q12" s="9">
        <f t="shared" si="8"/>
        <v>3</v>
      </c>
    </row>
    <row r="13" hidden="1">
      <c r="A13" s="2" t="s">
        <v>35</v>
      </c>
      <c r="B13" s="2" t="s">
        <v>36</v>
      </c>
      <c r="C13" s="2">
        <v>153.0</v>
      </c>
      <c r="D13" s="2">
        <v>135.0</v>
      </c>
      <c r="E13" s="2">
        <v>124.0</v>
      </c>
      <c r="F13" s="2">
        <v>29.0</v>
      </c>
      <c r="G13" s="8">
        <f t="shared" si="1"/>
        <v>0.9185185185</v>
      </c>
      <c r="H13" s="8">
        <f t="shared" si="2"/>
        <v>0.8104575163</v>
      </c>
      <c r="I13" s="2">
        <v>194.0</v>
      </c>
      <c r="J13" s="2">
        <v>76.0</v>
      </c>
      <c r="K13" s="2">
        <v>47.0</v>
      </c>
      <c r="L13" s="8">
        <f t="shared" si="3"/>
        <v>0.6184210526</v>
      </c>
      <c r="M13" s="9">
        <f t="shared" si="4"/>
        <v>6</v>
      </c>
      <c r="N13" s="9">
        <f t="shared" si="5"/>
        <v>0</v>
      </c>
      <c r="O13" s="9">
        <f t="shared" si="6"/>
        <v>9</v>
      </c>
      <c r="P13" s="9">
        <f t="shared" si="7"/>
        <v>109</v>
      </c>
      <c r="Q13" s="9">
        <f t="shared" si="8"/>
        <v>32</v>
      </c>
    </row>
    <row r="14" hidden="1">
      <c r="A14" s="4" t="s">
        <v>37</v>
      </c>
      <c r="B14" s="9" t="s">
        <v>37</v>
      </c>
      <c r="C14" s="9">
        <f t="shared" ref="C14:F14" si="9">SUM(C3:C13)</f>
        <v>578</v>
      </c>
      <c r="D14" s="9">
        <f t="shared" si="9"/>
        <v>513</v>
      </c>
      <c r="E14" s="9">
        <f t="shared" si="9"/>
        <v>461</v>
      </c>
      <c r="F14" s="9">
        <f t="shared" si="9"/>
        <v>117</v>
      </c>
      <c r="G14" s="8">
        <f t="shared" ref="G14:H14" si="10">AVERAGE(G3:G13)</f>
        <v>0.8822327283</v>
      </c>
      <c r="H14" s="8">
        <f t="shared" si="10"/>
        <v>0.8217272155</v>
      </c>
      <c r="I14" s="9">
        <f t="shared" ref="I14:K14" si="11">SUM(I3:I13)</f>
        <v>989</v>
      </c>
      <c r="J14" s="9">
        <f t="shared" si="11"/>
        <v>519</v>
      </c>
      <c r="K14" s="9">
        <f t="shared" si="11"/>
        <v>382</v>
      </c>
      <c r="L14" s="8">
        <f t="shared" si="3"/>
        <v>0.7360308285</v>
      </c>
      <c r="M14" s="9">
        <f t="shared" ref="M14:Q14" si="12">SUM(M3:M13)</f>
        <v>36</v>
      </c>
      <c r="N14" s="9">
        <f t="shared" si="12"/>
        <v>22</v>
      </c>
      <c r="O14" s="9">
        <f t="shared" si="12"/>
        <v>106</v>
      </c>
      <c r="P14" s="9">
        <f t="shared" si="12"/>
        <v>297</v>
      </c>
      <c r="Q14" s="9">
        <f t="shared" si="12"/>
        <v>218</v>
      </c>
    </row>
    <row r="15">
      <c r="A15" s="10" t="s">
        <v>0</v>
      </c>
      <c r="B15" s="11"/>
      <c r="C15" s="12" t="s">
        <v>1</v>
      </c>
      <c r="D15" s="13"/>
      <c r="E15" s="13"/>
      <c r="F15" s="13"/>
      <c r="G15" s="13"/>
      <c r="H15" s="14"/>
      <c r="I15" s="12" t="s">
        <v>2</v>
      </c>
      <c r="J15" s="13"/>
      <c r="K15" s="13"/>
      <c r="L15" s="14"/>
      <c r="M15" s="12" t="s">
        <v>3</v>
      </c>
      <c r="N15" s="13"/>
      <c r="O15" s="14"/>
      <c r="P15" s="12" t="s">
        <v>4</v>
      </c>
      <c r="Q15" s="14"/>
    </row>
    <row r="16">
      <c r="A16" s="15"/>
      <c r="B16" s="11" t="s">
        <v>0</v>
      </c>
      <c r="C16" s="11" t="s">
        <v>5</v>
      </c>
      <c r="D16" s="16" t="s">
        <v>6</v>
      </c>
      <c r="E16" s="11" t="s">
        <v>7</v>
      </c>
      <c r="F16" s="17" t="s">
        <v>8</v>
      </c>
      <c r="G16" s="18" t="s">
        <v>9</v>
      </c>
      <c r="H16" s="18" t="s">
        <v>10</v>
      </c>
      <c r="I16" s="11" t="s">
        <v>11</v>
      </c>
      <c r="J16" s="16" t="s">
        <v>6</v>
      </c>
      <c r="K16" s="11" t="s">
        <v>7</v>
      </c>
      <c r="L16" s="18" t="s">
        <v>9</v>
      </c>
      <c r="M16" s="11" t="s">
        <v>12</v>
      </c>
      <c r="N16" s="11" t="s">
        <v>13</v>
      </c>
      <c r="O16" s="19" t="s">
        <v>14</v>
      </c>
      <c r="P16" s="11" t="s">
        <v>12</v>
      </c>
      <c r="Q16" s="11" t="s">
        <v>13</v>
      </c>
    </row>
    <row r="17">
      <c r="A17" s="11" t="s">
        <v>15</v>
      </c>
      <c r="B17" s="20" t="s">
        <v>16</v>
      </c>
      <c r="C17" s="21">
        <v>95.0</v>
      </c>
      <c r="D17" s="20">
        <v>90.0</v>
      </c>
      <c r="E17" s="20">
        <v>79.0</v>
      </c>
      <c r="F17" s="20">
        <v>16.0</v>
      </c>
      <c r="G17" s="22">
        <f t="shared" ref="G17:G27" si="13">E17/D17</f>
        <v>0.8777777778</v>
      </c>
      <c r="H17" s="23">
        <f t="shared" ref="H17:H27" si="14">E17/(F17+E17)</f>
        <v>0.8315789474</v>
      </c>
      <c r="I17" s="24">
        <v>193.0</v>
      </c>
      <c r="J17" s="25">
        <v>97.0</v>
      </c>
      <c r="K17" s="25">
        <v>97.0</v>
      </c>
      <c r="L17" s="23">
        <f t="shared" ref="L17:L28" si="15">K17/J17</f>
        <v>1</v>
      </c>
      <c r="M17" s="26">
        <f t="shared" ref="M17:M27" si="16">COUNTIF(INDIRECT("'" &amp; B17 &amp; "'!$E$2:$E$1000"),1)</f>
        <v>5</v>
      </c>
      <c r="N17" s="27">
        <f t="shared" ref="N17:N27" si="17">COUNTIF(INDIRECT("'" &amp; B17 &amp; "'!$E$2:$E$1000"),-1)</f>
        <v>4</v>
      </c>
      <c r="O17" s="28">
        <f t="shared" ref="O17:O27" si="18">COUNTIF(INDIRECT("'" &amp; B17 &amp; "'!$E$2:$E$1000"),0)</f>
        <v>38</v>
      </c>
      <c r="P17" s="29">
        <f t="shared" ref="P17:P27" si="19">E17-O17-M17-N17</f>
        <v>32</v>
      </c>
      <c r="Q17" s="30">
        <f t="shared" ref="Q17:Q27" si="20">K17-O17-N17-M17</f>
        <v>50</v>
      </c>
    </row>
    <row r="18">
      <c r="A18" s="11" t="s">
        <v>17</v>
      </c>
      <c r="B18" s="20" t="s">
        <v>18</v>
      </c>
      <c r="C18" s="21">
        <v>154.0</v>
      </c>
      <c r="D18" s="20">
        <v>135.0</v>
      </c>
      <c r="E18" s="20">
        <v>127.0</v>
      </c>
      <c r="F18" s="20">
        <v>27.0</v>
      </c>
      <c r="G18" s="22">
        <f t="shared" si="13"/>
        <v>0.9407407407</v>
      </c>
      <c r="H18" s="23">
        <f t="shared" si="14"/>
        <v>0.8246753247</v>
      </c>
      <c r="I18" s="24">
        <v>145.0</v>
      </c>
      <c r="J18" s="25">
        <v>79.0</v>
      </c>
      <c r="K18" s="25">
        <v>68.0</v>
      </c>
      <c r="L18" s="23">
        <f t="shared" si="15"/>
        <v>0.8607594937</v>
      </c>
      <c r="M18" s="29">
        <f t="shared" si="16"/>
        <v>2</v>
      </c>
      <c r="N18" s="31">
        <f t="shared" si="17"/>
        <v>3</v>
      </c>
      <c r="O18" s="28">
        <f t="shared" si="18"/>
        <v>35</v>
      </c>
      <c r="P18" s="26">
        <f t="shared" si="19"/>
        <v>87</v>
      </c>
      <c r="Q18" s="28">
        <f t="shared" si="20"/>
        <v>28</v>
      </c>
    </row>
    <row r="19">
      <c r="A19" s="11" t="s">
        <v>19</v>
      </c>
      <c r="B19" s="20" t="s">
        <v>20</v>
      </c>
      <c r="C19" s="21">
        <v>45.0</v>
      </c>
      <c r="D19" s="20">
        <v>38.0</v>
      </c>
      <c r="E19" s="20">
        <v>29.0</v>
      </c>
      <c r="F19" s="20">
        <v>16.0</v>
      </c>
      <c r="G19" s="22">
        <f t="shared" si="13"/>
        <v>0.7631578947</v>
      </c>
      <c r="H19" s="23">
        <f t="shared" si="14"/>
        <v>0.6444444444</v>
      </c>
      <c r="I19" s="24">
        <v>137.0</v>
      </c>
      <c r="J19" s="25">
        <v>63.0</v>
      </c>
      <c r="K19" s="25">
        <v>31.0</v>
      </c>
      <c r="L19" s="23">
        <f t="shared" si="15"/>
        <v>0.4920634921</v>
      </c>
      <c r="M19" s="26">
        <f t="shared" si="16"/>
        <v>6</v>
      </c>
      <c r="N19" s="27">
        <f t="shared" si="17"/>
        <v>2</v>
      </c>
      <c r="O19" s="28">
        <f t="shared" si="18"/>
        <v>2</v>
      </c>
      <c r="P19" s="29">
        <f t="shared" si="19"/>
        <v>19</v>
      </c>
      <c r="Q19" s="30">
        <f t="shared" si="20"/>
        <v>21</v>
      </c>
    </row>
    <row r="20">
      <c r="A20" s="11" t="s">
        <v>21</v>
      </c>
      <c r="B20" s="20" t="s">
        <v>22</v>
      </c>
      <c r="C20" s="21">
        <v>39.0</v>
      </c>
      <c r="D20" s="20">
        <v>30.0</v>
      </c>
      <c r="E20" s="20">
        <v>26.0</v>
      </c>
      <c r="F20" s="20">
        <v>13.0</v>
      </c>
      <c r="G20" s="22">
        <f t="shared" si="13"/>
        <v>0.8666666667</v>
      </c>
      <c r="H20" s="23">
        <f t="shared" si="14"/>
        <v>0.6666666667</v>
      </c>
      <c r="I20" s="24">
        <v>104.0</v>
      </c>
      <c r="J20" s="25">
        <v>55.0</v>
      </c>
      <c r="K20" s="25">
        <v>31.0</v>
      </c>
      <c r="L20" s="23">
        <f t="shared" si="15"/>
        <v>0.5636363636</v>
      </c>
      <c r="M20" s="26">
        <f t="shared" si="16"/>
        <v>4</v>
      </c>
      <c r="N20" s="27">
        <f t="shared" si="17"/>
        <v>1</v>
      </c>
      <c r="O20" s="28">
        <f t="shared" si="18"/>
        <v>2</v>
      </c>
      <c r="P20" s="29">
        <f t="shared" si="19"/>
        <v>19</v>
      </c>
      <c r="Q20" s="30">
        <f t="shared" si="20"/>
        <v>24</v>
      </c>
    </row>
    <row r="21">
      <c r="A21" s="11" t="s">
        <v>23</v>
      </c>
      <c r="B21" s="20" t="s">
        <v>24</v>
      </c>
      <c r="C21" s="21">
        <v>15.0</v>
      </c>
      <c r="D21" s="20">
        <v>12.0</v>
      </c>
      <c r="E21" s="20">
        <v>12.0</v>
      </c>
      <c r="F21" s="20">
        <v>3.0</v>
      </c>
      <c r="G21" s="22">
        <f t="shared" si="13"/>
        <v>1</v>
      </c>
      <c r="H21" s="23">
        <f t="shared" si="14"/>
        <v>0.8</v>
      </c>
      <c r="I21" s="24">
        <v>17.0</v>
      </c>
      <c r="J21" s="25">
        <v>14.0</v>
      </c>
      <c r="K21" s="25">
        <v>12.0</v>
      </c>
      <c r="L21" s="23">
        <f t="shared" si="15"/>
        <v>0.8571428571</v>
      </c>
      <c r="M21" s="26">
        <f t="shared" si="16"/>
        <v>3</v>
      </c>
      <c r="N21" s="27">
        <f t="shared" si="17"/>
        <v>1</v>
      </c>
      <c r="O21" s="28">
        <f t="shared" si="18"/>
        <v>3</v>
      </c>
      <c r="P21" s="29">
        <f t="shared" si="19"/>
        <v>5</v>
      </c>
      <c r="Q21" s="28">
        <f t="shared" si="20"/>
        <v>5</v>
      </c>
    </row>
    <row r="22">
      <c r="A22" s="11" t="s">
        <v>25</v>
      </c>
      <c r="B22" s="20" t="s">
        <v>26</v>
      </c>
      <c r="C22" s="21">
        <v>6.0</v>
      </c>
      <c r="D22" s="20">
        <v>7.0</v>
      </c>
      <c r="E22" s="20">
        <v>6.0</v>
      </c>
      <c r="F22" s="20">
        <v>0.0</v>
      </c>
      <c r="G22" s="22">
        <f t="shared" si="13"/>
        <v>0.8571428571</v>
      </c>
      <c r="H22" s="23">
        <f t="shared" si="14"/>
        <v>1</v>
      </c>
      <c r="I22" s="24">
        <v>6.0</v>
      </c>
      <c r="J22" s="20">
        <v>4.0</v>
      </c>
      <c r="K22" s="25">
        <v>3.0</v>
      </c>
      <c r="L22" s="23">
        <f t="shared" si="15"/>
        <v>0.75</v>
      </c>
      <c r="M22" s="29">
        <f t="shared" si="16"/>
        <v>1</v>
      </c>
      <c r="N22" s="27">
        <f t="shared" si="17"/>
        <v>1</v>
      </c>
      <c r="O22" s="28">
        <f t="shared" si="18"/>
        <v>1</v>
      </c>
      <c r="P22" s="29">
        <f t="shared" si="19"/>
        <v>3</v>
      </c>
      <c r="Q22" s="28">
        <f t="shared" si="20"/>
        <v>0</v>
      </c>
      <c r="V22" s="4" t="s">
        <v>38</v>
      </c>
    </row>
    <row r="23">
      <c r="A23" s="11" t="s">
        <v>27</v>
      </c>
      <c r="B23" s="20" t="s">
        <v>28</v>
      </c>
      <c r="C23" s="21">
        <v>25.0</v>
      </c>
      <c r="D23" s="20">
        <v>24.0</v>
      </c>
      <c r="E23" s="20">
        <v>19.0</v>
      </c>
      <c r="F23" s="20">
        <v>6.0</v>
      </c>
      <c r="G23" s="22">
        <f t="shared" si="13"/>
        <v>0.7916666667</v>
      </c>
      <c r="H23" s="23">
        <f t="shared" si="14"/>
        <v>0.76</v>
      </c>
      <c r="I23" s="21">
        <v>41.0</v>
      </c>
      <c r="J23" s="25">
        <v>21.0</v>
      </c>
      <c r="K23" s="25">
        <v>21.0</v>
      </c>
      <c r="L23" s="23">
        <f t="shared" si="15"/>
        <v>1</v>
      </c>
      <c r="M23" s="26">
        <f t="shared" si="16"/>
        <v>7</v>
      </c>
      <c r="N23" s="27">
        <f t="shared" si="17"/>
        <v>1</v>
      </c>
      <c r="O23" s="28">
        <f t="shared" si="18"/>
        <v>2</v>
      </c>
      <c r="P23" s="29">
        <f t="shared" si="19"/>
        <v>9</v>
      </c>
      <c r="Q23" s="30">
        <f t="shared" si="20"/>
        <v>11</v>
      </c>
    </row>
    <row r="24">
      <c r="A24" s="11" t="s">
        <v>29</v>
      </c>
      <c r="B24" s="20" t="s">
        <v>30</v>
      </c>
      <c r="C24" s="21">
        <v>25.0</v>
      </c>
      <c r="D24" s="20">
        <v>19.0</v>
      </c>
      <c r="E24" s="20">
        <v>19.0</v>
      </c>
      <c r="F24" s="20">
        <v>6.0</v>
      </c>
      <c r="G24" s="22">
        <f t="shared" si="13"/>
        <v>1</v>
      </c>
      <c r="H24" s="23">
        <f t="shared" si="14"/>
        <v>0.76</v>
      </c>
      <c r="I24" s="24">
        <v>50.0</v>
      </c>
      <c r="J24" s="25">
        <v>24.0</v>
      </c>
      <c r="K24" s="25">
        <v>19.0</v>
      </c>
      <c r="L24" s="23">
        <f t="shared" si="15"/>
        <v>0.7916666667</v>
      </c>
      <c r="M24" s="29">
        <f t="shared" si="16"/>
        <v>2</v>
      </c>
      <c r="N24" s="31">
        <f t="shared" si="17"/>
        <v>6</v>
      </c>
      <c r="O24" s="28">
        <f t="shared" si="18"/>
        <v>4</v>
      </c>
      <c r="P24" s="29">
        <f t="shared" si="19"/>
        <v>7</v>
      </c>
      <c r="Q24" s="28">
        <f t="shared" si="20"/>
        <v>7</v>
      </c>
    </row>
    <row r="25">
      <c r="A25" s="11" t="s">
        <v>31</v>
      </c>
      <c r="B25" s="20" t="s">
        <v>32</v>
      </c>
      <c r="C25" s="21">
        <v>17.0</v>
      </c>
      <c r="D25" s="20">
        <v>18.0</v>
      </c>
      <c r="E25" s="20">
        <v>16.0</v>
      </c>
      <c r="F25" s="20">
        <v>1.0</v>
      </c>
      <c r="G25" s="22">
        <f t="shared" si="13"/>
        <v>0.8888888889</v>
      </c>
      <c r="H25" s="23">
        <f t="shared" si="14"/>
        <v>0.9411764706</v>
      </c>
      <c r="I25" s="24">
        <v>68.0</v>
      </c>
      <c r="J25" s="25">
        <v>24.0</v>
      </c>
      <c r="K25" s="25">
        <v>19.0</v>
      </c>
      <c r="L25" s="23">
        <f t="shared" si="15"/>
        <v>0.7916666667</v>
      </c>
      <c r="M25" s="29">
        <f t="shared" si="16"/>
        <v>0</v>
      </c>
      <c r="N25" s="31">
        <f t="shared" si="17"/>
        <v>3</v>
      </c>
      <c r="O25" s="28">
        <f t="shared" si="18"/>
        <v>9</v>
      </c>
      <c r="P25" s="29">
        <f t="shared" si="19"/>
        <v>4</v>
      </c>
      <c r="Q25" s="28">
        <f t="shared" si="20"/>
        <v>7</v>
      </c>
    </row>
    <row r="26">
      <c r="A26" s="11" t="s">
        <v>33</v>
      </c>
      <c r="B26" s="20" t="s">
        <v>34</v>
      </c>
      <c r="C26" s="21">
        <v>4.0</v>
      </c>
      <c r="D26" s="20">
        <v>5.0</v>
      </c>
      <c r="E26" s="20">
        <v>4.0</v>
      </c>
      <c r="F26" s="20">
        <v>0.0</v>
      </c>
      <c r="G26" s="22">
        <f t="shared" si="13"/>
        <v>0.8</v>
      </c>
      <c r="H26" s="23">
        <f t="shared" si="14"/>
        <v>1</v>
      </c>
      <c r="I26" s="24">
        <v>60.0</v>
      </c>
      <c r="J26" s="25">
        <v>14.0</v>
      </c>
      <c r="K26" s="25">
        <v>8.0</v>
      </c>
      <c r="L26" s="23">
        <f t="shared" si="15"/>
        <v>0.5714285714</v>
      </c>
      <c r="M26" s="29">
        <f t="shared" si="16"/>
        <v>0</v>
      </c>
      <c r="N26" s="27">
        <f t="shared" si="17"/>
        <v>0</v>
      </c>
      <c r="O26" s="28">
        <f t="shared" si="18"/>
        <v>1</v>
      </c>
      <c r="P26" s="29">
        <f t="shared" si="19"/>
        <v>3</v>
      </c>
      <c r="Q26" s="28">
        <f t="shared" si="20"/>
        <v>7</v>
      </c>
    </row>
    <row r="27">
      <c r="A27" s="11" t="s">
        <v>35</v>
      </c>
      <c r="B27" s="20" t="s">
        <v>36</v>
      </c>
      <c r="C27" s="21">
        <v>153.0</v>
      </c>
      <c r="D27" s="20">
        <v>135.0</v>
      </c>
      <c r="E27" s="20">
        <v>124.0</v>
      </c>
      <c r="F27" s="20">
        <v>29.0</v>
      </c>
      <c r="G27" s="22">
        <f t="shared" si="13"/>
        <v>0.9185185185</v>
      </c>
      <c r="H27" s="23">
        <f t="shared" si="14"/>
        <v>0.8104575163</v>
      </c>
      <c r="I27" s="24">
        <v>132.0</v>
      </c>
      <c r="J27" s="25">
        <v>78.0</v>
      </c>
      <c r="K27" s="25">
        <v>49.0</v>
      </c>
      <c r="L27" s="23">
        <f t="shared" si="15"/>
        <v>0.6282051282</v>
      </c>
      <c r="M27" s="26">
        <f t="shared" si="16"/>
        <v>6</v>
      </c>
      <c r="N27" s="27">
        <f t="shared" si="17"/>
        <v>0</v>
      </c>
      <c r="O27" s="28">
        <f t="shared" si="18"/>
        <v>9</v>
      </c>
      <c r="P27" s="26">
        <f t="shared" si="19"/>
        <v>109</v>
      </c>
      <c r="Q27" s="28">
        <f t="shared" si="20"/>
        <v>34</v>
      </c>
    </row>
    <row r="28">
      <c r="A28" s="16" t="s">
        <v>37</v>
      </c>
      <c r="B28" s="32" t="s">
        <v>37</v>
      </c>
      <c r="C28" s="32">
        <f t="shared" ref="C28:F28" si="21">SUM(C17:C27)</f>
        <v>578</v>
      </c>
      <c r="D28" s="32">
        <f t="shared" si="21"/>
        <v>513</v>
      </c>
      <c r="E28" s="32">
        <f t="shared" si="21"/>
        <v>461</v>
      </c>
      <c r="F28" s="32">
        <f t="shared" si="21"/>
        <v>117</v>
      </c>
      <c r="G28" s="33">
        <f t="shared" ref="G28:H28" si="22">AVERAGE(G17:G27)</f>
        <v>0.8822327283</v>
      </c>
      <c r="H28" s="33">
        <f t="shared" si="22"/>
        <v>0.8217272155</v>
      </c>
      <c r="I28" s="32">
        <f t="shared" ref="I28:K28" si="23">SUM(I17:I27)</f>
        <v>953</v>
      </c>
      <c r="J28" s="32">
        <f t="shared" si="23"/>
        <v>473</v>
      </c>
      <c r="K28" s="32">
        <f t="shared" si="23"/>
        <v>358</v>
      </c>
      <c r="L28" s="33">
        <f t="shared" si="15"/>
        <v>0.7568710359</v>
      </c>
      <c r="M28" s="34">
        <f t="shared" ref="M28:Q28" si="24">SUM(M17:M27)</f>
        <v>36</v>
      </c>
      <c r="N28" s="32">
        <f t="shared" si="24"/>
        <v>22</v>
      </c>
      <c r="O28" s="32">
        <f t="shared" si="24"/>
        <v>106</v>
      </c>
      <c r="P28" s="34">
        <f t="shared" si="24"/>
        <v>297</v>
      </c>
      <c r="Q28" s="32">
        <f t="shared" si="24"/>
        <v>194</v>
      </c>
    </row>
    <row r="29">
      <c r="G29" s="6"/>
      <c r="H29" s="6"/>
      <c r="L29" s="6"/>
    </row>
    <row r="30">
      <c r="G30" s="6"/>
      <c r="H30" s="6"/>
      <c r="L30" s="6"/>
    </row>
    <row r="31">
      <c r="G31" s="6"/>
      <c r="H31" s="6"/>
      <c r="L31" s="6"/>
    </row>
    <row r="32">
      <c r="G32" s="6"/>
      <c r="H32" s="6"/>
      <c r="L32" s="6"/>
    </row>
    <row r="33">
      <c r="G33" s="6"/>
      <c r="H33" s="6"/>
      <c r="L33" s="6"/>
    </row>
    <row r="34">
      <c r="G34" s="6"/>
      <c r="H34" s="6"/>
      <c r="L34" s="6"/>
    </row>
    <row r="35">
      <c r="G35" s="6"/>
      <c r="H35" s="6"/>
      <c r="L35" s="6"/>
    </row>
    <row r="36">
      <c r="G36" s="6"/>
      <c r="H36" s="6"/>
      <c r="L36" s="6"/>
    </row>
    <row r="37">
      <c r="G37" s="6"/>
      <c r="H37" s="6"/>
      <c r="L37" s="6"/>
    </row>
    <row r="38">
      <c r="G38" s="6"/>
      <c r="H38" s="6"/>
      <c r="L38" s="6"/>
    </row>
    <row r="39">
      <c r="G39" s="6"/>
      <c r="H39" s="6"/>
      <c r="L39" s="6"/>
    </row>
    <row r="40">
      <c r="G40" s="6"/>
      <c r="H40" s="6"/>
      <c r="L40" s="6"/>
    </row>
    <row r="41">
      <c r="G41" s="6"/>
      <c r="H41" s="6"/>
      <c r="L41" s="6"/>
    </row>
    <row r="42">
      <c r="G42" s="6"/>
      <c r="H42" s="6"/>
      <c r="L42" s="6"/>
    </row>
    <row r="43">
      <c r="G43" s="6"/>
      <c r="H43" s="6"/>
      <c r="L43" s="6"/>
    </row>
    <row r="44">
      <c r="G44" s="6"/>
      <c r="H44" s="6"/>
      <c r="L44" s="6"/>
    </row>
    <row r="45">
      <c r="G45" s="6"/>
      <c r="H45" s="6"/>
      <c r="L45" s="6"/>
    </row>
    <row r="46">
      <c r="G46" s="6"/>
      <c r="H46" s="6"/>
      <c r="L46" s="6"/>
    </row>
    <row r="47">
      <c r="G47" s="6"/>
      <c r="H47" s="6"/>
      <c r="L47" s="6"/>
    </row>
    <row r="48">
      <c r="G48" s="6"/>
      <c r="H48" s="6"/>
      <c r="L48" s="6"/>
    </row>
    <row r="49">
      <c r="G49" s="6"/>
      <c r="H49" s="6"/>
      <c r="L49" s="6"/>
    </row>
    <row r="50">
      <c r="G50" s="6"/>
      <c r="H50" s="6"/>
      <c r="L50" s="6"/>
    </row>
    <row r="51">
      <c r="G51" s="6"/>
      <c r="H51" s="6"/>
      <c r="L51" s="6"/>
    </row>
    <row r="52">
      <c r="G52" s="6"/>
      <c r="H52" s="6"/>
      <c r="L52" s="6"/>
    </row>
    <row r="53">
      <c r="G53" s="6"/>
      <c r="H53" s="6"/>
      <c r="L53" s="6"/>
    </row>
    <row r="54">
      <c r="G54" s="6"/>
      <c r="H54" s="6"/>
      <c r="L54" s="6"/>
    </row>
    <row r="55">
      <c r="G55" s="6"/>
      <c r="H55" s="6"/>
      <c r="L55" s="6"/>
    </row>
    <row r="56">
      <c r="G56" s="6"/>
      <c r="H56" s="6"/>
      <c r="L56" s="6"/>
    </row>
    <row r="57">
      <c r="G57" s="6"/>
      <c r="H57" s="6"/>
      <c r="L57" s="6"/>
    </row>
    <row r="58">
      <c r="G58" s="6"/>
      <c r="H58" s="6"/>
      <c r="L58" s="6"/>
    </row>
    <row r="59">
      <c r="G59" s="6"/>
      <c r="H59" s="6"/>
      <c r="L59" s="6"/>
    </row>
    <row r="60">
      <c r="G60" s="6"/>
      <c r="H60" s="6"/>
      <c r="L60" s="6"/>
    </row>
    <row r="61">
      <c r="G61" s="6"/>
      <c r="H61" s="6"/>
      <c r="L61" s="6"/>
    </row>
    <row r="62">
      <c r="G62" s="6"/>
      <c r="H62" s="6"/>
      <c r="L62" s="6"/>
    </row>
    <row r="63">
      <c r="G63" s="6"/>
      <c r="H63" s="6"/>
      <c r="L63" s="6"/>
    </row>
    <row r="64">
      <c r="G64" s="6"/>
      <c r="H64" s="6"/>
      <c r="L64" s="6"/>
    </row>
    <row r="65">
      <c r="G65" s="6"/>
      <c r="H65" s="6"/>
      <c r="L65" s="6"/>
    </row>
    <row r="66">
      <c r="G66" s="6"/>
      <c r="H66" s="6"/>
      <c r="L66" s="6"/>
    </row>
    <row r="67">
      <c r="G67" s="6"/>
      <c r="H67" s="6"/>
      <c r="L67" s="6"/>
    </row>
    <row r="68">
      <c r="G68" s="6"/>
      <c r="H68" s="6"/>
      <c r="L68" s="6"/>
    </row>
    <row r="69">
      <c r="G69" s="6"/>
      <c r="H69" s="6"/>
      <c r="L69" s="6"/>
    </row>
    <row r="70">
      <c r="G70" s="6"/>
      <c r="H70" s="6"/>
      <c r="L70" s="6"/>
    </row>
    <row r="71">
      <c r="G71" s="6"/>
      <c r="H71" s="6"/>
      <c r="L71" s="6"/>
    </row>
    <row r="72">
      <c r="G72" s="6"/>
      <c r="H72" s="6"/>
      <c r="L72" s="6"/>
    </row>
    <row r="73">
      <c r="G73" s="6"/>
      <c r="H73" s="6"/>
      <c r="L73" s="6"/>
    </row>
    <row r="74">
      <c r="G74" s="6"/>
      <c r="H74" s="6"/>
      <c r="L74" s="6"/>
    </row>
    <row r="75">
      <c r="G75" s="6"/>
      <c r="H75" s="6"/>
      <c r="L75" s="6"/>
    </row>
    <row r="76">
      <c r="G76" s="6"/>
      <c r="H76" s="6"/>
      <c r="L76" s="6"/>
    </row>
    <row r="77">
      <c r="G77" s="6"/>
      <c r="H77" s="6"/>
      <c r="L77" s="6"/>
    </row>
    <row r="78">
      <c r="G78" s="6"/>
      <c r="H78" s="6"/>
      <c r="L78" s="6"/>
    </row>
    <row r="79">
      <c r="G79" s="6"/>
      <c r="H79" s="6"/>
      <c r="L79" s="6"/>
    </row>
    <row r="80">
      <c r="G80" s="6"/>
      <c r="H80" s="6"/>
      <c r="L80" s="6"/>
    </row>
    <row r="81">
      <c r="G81" s="6"/>
      <c r="H81" s="6"/>
      <c r="L81" s="6"/>
    </row>
    <row r="82">
      <c r="G82" s="6"/>
      <c r="H82" s="6"/>
      <c r="L82" s="6"/>
    </row>
    <row r="83">
      <c r="G83" s="6"/>
      <c r="H83" s="6"/>
      <c r="L83" s="6"/>
    </row>
    <row r="84">
      <c r="G84" s="6"/>
      <c r="H84" s="6"/>
      <c r="L84" s="6"/>
    </row>
    <row r="85">
      <c r="G85" s="6"/>
      <c r="H85" s="6"/>
      <c r="L85" s="6"/>
    </row>
    <row r="86">
      <c r="G86" s="6"/>
      <c r="H86" s="6"/>
      <c r="L86" s="6"/>
    </row>
    <row r="87">
      <c r="G87" s="6"/>
      <c r="H87" s="6"/>
      <c r="L87" s="6"/>
    </row>
    <row r="88">
      <c r="G88" s="6"/>
      <c r="H88" s="6"/>
      <c r="L88" s="6"/>
    </row>
    <row r="89">
      <c r="G89" s="6"/>
      <c r="H89" s="6"/>
      <c r="L89" s="6"/>
    </row>
    <row r="90">
      <c r="G90" s="6"/>
      <c r="H90" s="6"/>
      <c r="L90" s="6"/>
    </row>
    <row r="91">
      <c r="G91" s="6"/>
      <c r="H91" s="6"/>
      <c r="L91" s="6"/>
    </row>
    <row r="92">
      <c r="G92" s="6"/>
      <c r="H92" s="6"/>
      <c r="L92" s="6"/>
    </row>
    <row r="93">
      <c r="G93" s="6"/>
      <c r="H93" s="6"/>
      <c r="L93" s="6"/>
    </row>
    <row r="94">
      <c r="G94" s="6"/>
      <c r="H94" s="6"/>
      <c r="L94" s="6"/>
    </row>
    <row r="95">
      <c r="G95" s="6"/>
      <c r="H95" s="6"/>
      <c r="L95" s="6"/>
    </row>
    <row r="96">
      <c r="G96" s="6"/>
      <c r="H96" s="6"/>
      <c r="L96" s="6"/>
    </row>
    <row r="97">
      <c r="G97" s="6"/>
      <c r="H97" s="6"/>
      <c r="L97" s="6"/>
    </row>
    <row r="98">
      <c r="G98" s="6"/>
      <c r="H98" s="6"/>
      <c r="L98" s="6"/>
    </row>
    <row r="99">
      <c r="G99" s="6"/>
      <c r="H99" s="6"/>
      <c r="L99" s="6"/>
    </row>
    <row r="100">
      <c r="G100" s="6"/>
      <c r="H100" s="6"/>
      <c r="L100" s="6"/>
    </row>
    <row r="101">
      <c r="G101" s="6"/>
      <c r="H101" s="6"/>
      <c r="L101" s="6"/>
    </row>
    <row r="102">
      <c r="G102" s="6"/>
      <c r="H102" s="6"/>
      <c r="L102" s="6"/>
    </row>
    <row r="103">
      <c r="G103" s="6"/>
      <c r="H103" s="6"/>
      <c r="L103" s="6"/>
    </row>
    <row r="104">
      <c r="G104" s="6"/>
      <c r="H104" s="6"/>
      <c r="L104" s="6"/>
    </row>
    <row r="105">
      <c r="G105" s="6"/>
      <c r="H105" s="6"/>
      <c r="L105" s="6"/>
    </row>
    <row r="106">
      <c r="G106" s="6"/>
      <c r="H106" s="6"/>
      <c r="L106" s="6"/>
    </row>
    <row r="107">
      <c r="G107" s="6"/>
      <c r="H107" s="6"/>
      <c r="L107" s="6"/>
    </row>
    <row r="108">
      <c r="G108" s="6"/>
      <c r="H108" s="6"/>
      <c r="L108" s="6"/>
    </row>
    <row r="109">
      <c r="G109" s="6"/>
      <c r="H109" s="6"/>
      <c r="L109" s="6"/>
    </row>
    <row r="110">
      <c r="G110" s="6"/>
      <c r="H110" s="6"/>
      <c r="L110" s="6"/>
    </row>
    <row r="111">
      <c r="G111" s="6"/>
      <c r="H111" s="6"/>
      <c r="L111" s="6"/>
    </row>
    <row r="112">
      <c r="G112" s="6"/>
      <c r="H112" s="6"/>
      <c r="L112" s="6"/>
    </row>
    <row r="113">
      <c r="G113" s="6"/>
      <c r="H113" s="6"/>
      <c r="L113" s="6"/>
    </row>
    <row r="114">
      <c r="G114" s="6"/>
      <c r="H114" s="6"/>
      <c r="L114" s="6"/>
    </row>
    <row r="115">
      <c r="G115" s="6"/>
      <c r="H115" s="6"/>
      <c r="L115" s="6"/>
    </row>
    <row r="116">
      <c r="G116" s="6"/>
      <c r="H116" s="6"/>
      <c r="L116" s="6"/>
    </row>
    <row r="117">
      <c r="G117" s="6"/>
      <c r="H117" s="6"/>
      <c r="L117" s="6"/>
    </row>
    <row r="118">
      <c r="G118" s="6"/>
      <c r="H118" s="6"/>
      <c r="L118" s="6"/>
    </row>
    <row r="119">
      <c r="G119" s="6"/>
      <c r="H119" s="6"/>
      <c r="L119" s="6"/>
    </row>
    <row r="120">
      <c r="G120" s="6"/>
      <c r="H120" s="6"/>
      <c r="L120" s="6"/>
    </row>
    <row r="121">
      <c r="G121" s="6"/>
      <c r="H121" s="6"/>
      <c r="L121" s="6"/>
    </row>
    <row r="122">
      <c r="G122" s="6"/>
      <c r="H122" s="6"/>
      <c r="L122" s="6"/>
    </row>
    <row r="123">
      <c r="G123" s="6"/>
      <c r="H123" s="6"/>
      <c r="L123" s="6"/>
    </row>
    <row r="124">
      <c r="G124" s="6"/>
      <c r="H124" s="6"/>
      <c r="L124" s="6"/>
    </row>
    <row r="125">
      <c r="G125" s="6"/>
      <c r="H125" s="6"/>
      <c r="L125" s="6"/>
    </row>
    <row r="126">
      <c r="G126" s="6"/>
      <c r="H126" s="6"/>
      <c r="L126" s="6"/>
    </row>
    <row r="127">
      <c r="G127" s="6"/>
      <c r="H127" s="6"/>
      <c r="L127" s="6"/>
    </row>
    <row r="128">
      <c r="G128" s="6"/>
      <c r="H128" s="6"/>
      <c r="L128" s="6"/>
    </row>
    <row r="129">
      <c r="G129" s="6"/>
      <c r="H129" s="6"/>
      <c r="L129" s="6"/>
    </row>
    <row r="130">
      <c r="G130" s="6"/>
      <c r="H130" s="6"/>
      <c r="L130" s="6"/>
    </row>
    <row r="131">
      <c r="G131" s="6"/>
      <c r="H131" s="6"/>
      <c r="L131" s="6"/>
    </row>
    <row r="132">
      <c r="G132" s="6"/>
      <c r="H132" s="6"/>
      <c r="L132" s="6"/>
    </row>
    <row r="133">
      <c r="G133" s="6"/>
      <c r="H133" s="6"/>
      <c r="L133" s="6"/>
    </row>
    <row r="134">
      <c r="G134" s="6"/>
      <c r="H134" s="6"/>
      <c r="L134" s="6"/>
    </row>
    <row r="135">
      <c r="G135" s="6"/>
      <c r="H135" s="6"/>
      <c r="L135" s="6"/>
    </row>
    <row r="136">
      <c r="G136" s="6"/>
      <c r="H136" s="6"/>
      <c r="L136" s="6"/>
    </row>
    <row r="137">
      <c r="G137" s="6"/>
      <c r="H137" s="6"/>
      <c r="L137" s="6"/>
    </row>
    <row r="138">
      <c r="G138" s="6"/>
      <c r="H138" s="6"/>
      <c r="L138" s="6"/>
    </row>
    <row r="139">
      <c r="G139" s="6"/>
      <c r="H139" s="6"/>
      <c r="L139" s="6"/>
    </row>
    <row r="140">
      <c r="G140" s="6"/>
      <c r="H140" s="6"/>
      <c r="L140" s="6"/>
    </row>
    <row r="141">
      <c r="G141" s="6"/>
      <c r="H141" s="6"/>
      <c r="L141" s="6"/>
    </row>
    <row r="142">
      <c r="G142" s="6"/>
      <c r="H142" s="6"/>
      <c r="L142" s="6"/>
    </row>
    <row r="143">
      <c r="G143" s="6"/>
      <c r="H143" s="6"/>
      <c r="L143" s="6"/>
    </row>
    <row r="144">
      <c r="G144" s="6"/>
      <c r="H144" s="6"/>
      <c r="L144" s="6"/>
    </row>
    <row r="145">
      <c r="G145" s="6"/>
      <c r="H145" s="6"/>
      <c r="L145" s="6"/>
    </row>
    <row r="146">
      <c r="G146" s="6"/>
      <c r="H146" s="6"/>
      <c r="L146" s="6"/>
    </row>
    <row r="147">
      <c r="G147" s="6"/>
      <c r="H147" s="6"/>
      <c r="L147" s="6"/>
    </row>
    <row r="148">
      <c r="G148" s="6"/>
      <c r="H148" s="6"/>
      <c r="L148" s="6"/>
    </row>
    <row r="149">
      <c r="G149" s="6"/>
      <c r="H149" s="6"/>
      <c r="L149" s="6"/>
    </row>
    <row r="150">
      <c r="G150" s="6"/>
      <c r="H150" s="6"/>
      <c r="L150" s="6"/>
    </row>
    <row r="151">
      <c r="G151" s="6"/>
      <c r="H151" s="6"/>
      <c r="L151" s="6"/>
    </row>
    <row r="152">
      <c r="G152" s="6"/>
      <c r="H152" s="6"/>
      <c r="L152" s="6"/>
    </row>
    <row r="153">
      <c r="G153" s="6"/>
      <c r="H153" s="6"/>
      <c r="L153" s="6"/>
    </row>
    <row r="154">
      <c r="G154" s="6"/>
      <c r="H154" s="6"/>
      <c r="L154" s="6"/>
    </row>
    <row r="155">
      <c r="G155" s="6"/>
      <c r="H155" s="6"/>
      <c r="L155" s="6"/>
    </row>
    <row r="156">
      <c r="G156" s="6"/>
      <c r="H156" s="6"/>
      <c r="L156" s="6"/>
    </row>
    <row r="157">
      <c r="G157" s="6"/>
      <c r="H157" s="6"/>
      <c r="L157" s="6"/>
    </row>
    <row r="158">
      <c r="G158" s="6"/>
      <c r="H158" s="6"/>
      <c r="L158" s="6"/>
    </row>
    <row r="159">
      <c r="G159" s="6"/>
      <c r="H159" s="6"/>
      <c r="L159" s="6"/>
    </row>
    <row r="160">
      <c r="G160" s="6"/>
      <c r="H160" s="6"/>
      <c r="L160" s="6"/>
    </row>
    <row r="161">
      <c r="G161" s="6"/>
      <c r="H161" s="6"/>
      <c r="L161" s="6"/>
    </row>
    <row r="162">
      <c r="G162" s="6"/>
      <c r="H162" s="6"/>
      <c r="L162" s="6"/>
    </row>
    <row r="163">
      <c r="G163" s="6"/>
      <c r="H163" s="6"/>
      <c r="L163" s="6"/>
    </row>
    <row r="164">
      <c r="G164" s="6"/>
      <c r="H164" s="6"/>
      <c r="L164" s="6"/>
    </row>
    <row r="165">
      <c r="G165" s="6"/>
      <c r="H165" s="6"/>
      <c r="L165" s="6"/>
    </row>
    <row r="166">
      <c r="G166" s="6"/>
      <c r="H166" s="6"/>
      <c r="L166" s="6"/>
    </row>
    <row r="167">
      <c r="G167" s="6"/>
      <c r="H167" s="6"/>
      <c r="L167" s="6"/>
    </row>
    <row r="168">
      <c r="G168" s="6"/>
      <c r="H168" s="6"/>
      <c r="L168" s="6"/>
    </row>
    <row r="169">
      <c r="G169" s="6"/>
      <c r="H169" s="6"/>
      <c r="L169" s="6"/>
    </row>
    <row r="170">
      <c r="G170" s="6"/>
      <c r="H170" s="6"/>
      <c r="L170" s="6"/>
    </row>
    <row r="171">
      <c r="G171" s="6"/>
      <c r="H171" s="6"/>
      <c r="L171" s="6"/>
    </row>
    <row r="172">
      <c r="G172" s="6"/>
      <c r="H172" s="6"/>
      <c r="L172" s="6"/>
    </row>
    <row r="173">
      <c r="G173" s="6"/>
      <c r="H173" s="6"/>
      <c r="L173" s="6"/>
    </row>
    <row r="174">
      <c r="G174" s="6"/>
      <c r="H174" s="6"/>
      <c r="L174" s="6"/>
    </row>
    <row r="175">
      <c r="G175" s="6"/>
      <c r="H175" s="6"/>
      <c r="L175" s="6"/>
    </row>
    <row r="176">
      <c r="G176" s="6"/>
      <c r="H176" s="6"/>
      <c r="L176" s="6"/>
    </row>
    <row r="177">
      <c r="G177" s="6"/>
      <c r="H177" s="6"/>
      <c r="L177" s="6"/>
    </row>
    <row r="178">
      <c r="G178" s="6"/>
      <c r="H178" s="6"/>
      <c r="L178" s="6"/>
    </row>
    <row r="179">
      <c r="G179" s="6"/>
      <c r="H179" s="6"/>
      <c r="L179" s="6"/>
    </row>
    <row r="180">
      <c r="G180" s="6"/>
      <c r="H180" s="6"/>
      <c r="L180" s="6"/>
    </row>
    <row r="181">
      <c r="G181" s="6"/>
      <c r="H181" s="6"/>
      <c r="L181" s="6"/>
    </row>
    <row r="182">
      <c r="G182" s="6"/>
      <c r="H182" s="6"/>
      <c r="L182" s="6"/>
    </row>
    <row r="183">
      <c r="G183" s="6"/>
      <c r="H183" s="6"/>
      <c r="L183" s="6"/>
    </row>
    <row r="184">
      <c r="G184" s="6"/>
      <c r="H184" s="6"/>
      <c r="L184" s="6"/>
    </row>
    <row r="185">
      <c r="G185" s="6"/>
      <c r="H185" s="6"/>
      <c r="L185" s="6"/>
    </row>
    <row r="186">
      <c r="G186" s="6"/>
      <c r="H186" s="6"/>
      <c r="L186" s="6"/>
    </row>
    <row r="187">
      <c r="G187" s="6"/>
      <c r="H187" s="6"/>
      <c r="L187" s="6"/>
    </row>
    <row r="188">
      <c r="G188" s="6"/>
      <c r="H188" s="6"/>
      <c r="L188" s="6"/>
    </row>
    <row r="189">
      <c r="G189" s="6"/>
      <c r="H189" s="6"/>
      <c r="L189" s="6"/>
    </row>
    <row r="190">
      <c r="G190" s="6"/>
      <c r="H190" s="6"/>
      <c r="L190" s="6"/>
    </row>
    <row r="191">
      <c r="G191" s="6"/>
      <c r="H191" s="6"/>
      <c r="L191" s="6"/>
    </row>
    <row r="192">
      <c r="G192" s="6"/>
      <c r="H192" s="6"/>
      <c r="L192" s="6"/>
    </row>
    <row r="193">
      <c r="G193" s="6"/>
      <c r="H193" s="6"/>
      <c r="L193" s="6"/>
    </row>
    <row r="194">
      <c r="G194" s="6"/>
      <c r="H194" s="6"/>
      <c r="L194" s="6"/>
    </row>
    <row r="195">
      <c r="G195" s="6"/>
      <c r="H195" s="6"/>
      <c r="L195" s="6"/>
    </row>
    <row r="196">
      <c r="G196" s="6"/>
      <c r="H196" s="6"/>
      <c r="L196" s="6"/>
    </row>
    <row r="197">
      <c r="G197" s="6"/>
      <c r="H197" s="6"/>
      <c r="L197" s="6"/>
    </row>
    <row r="198">
      <c r="G198" s="6"/>
      <c r="H198" s="6"/>
      <c r="L198" s="6"/>
    </row>
    <row r="199">
      <c r="G199" s="6"/>
      <c r="H199" s="6"/>
      <c r="L199" s="6"/>
    </row>
    <row r="200">
      <c r="G200" s="6"/>
      <c r="H200" s="6"/>
      <c r="L200" s="6"/>
    </row>
    <row r="201">
      <c r="G201" s="6"/>
      <c r="H201" s="6"/>
      <c r="L201" s="6"/>
    </row>
    <row r="202">
      <c r="G202" s="6"/>
      <c r="H202" s="6"/>
      <c r="L202" s="6"/>
    </row>
    <row r="203">
      <c r="G203" s="6"/>
      <c r="H203" s="6"/>
      <c r="L203" s="6"/>
    </row>
    <row r="204">
      <c r="G204" s="6"/>
      <c r="H204" s="6"/>
      <c r="L204" s="6"/>
    </row>
    <row r="205">
      <c r="G205" s="6"/>
      <c r="H205" s="6"/>
      <c r="L205" s="6"/>
    </row>
    <row r="206">
      <c r="G206" s="6"/>
      <c r="H206" s="6"/>
      <c r="L206" s="6"/>
    </row>
    <row r="207">
      <c r="G207" s="6"/>
      <c r="H207" s="6"/>
      <c r="L207" s="6"/>
    </row>
    <row r="208">
      <c r="G208" s="6"/>
      <c r="H208" s="6"/>
      <c r="L208" s="6"/>
    </row>
    <row r="209">
      <c r="G209" s="6"/>
      <c r="H209" s="6"/>
      <c r="L209" s="6"/>
    </row>
    <row r="210">
      <c r="G210" s="6"/>
      <c r="H210" s="6"/>
      <c r="L210" s="6"/>
    </row>
    <row r="211">
      <c r="G211" s="6"/>
      <c r="H211" s="6"/>
      <c r="L211" s="6"/>
    </row>
    <row r="212">
      <c r="G212" s="6"/>
      <c r="H212" s="6"/>
      <c r="L212" s="6"/>
    </row>
    <row r="213">
      <c r="G213" s="6"/>
      <c r="H213" s="6"/>
      <c r="L213" s="6"/>
    </row>
    <row r="214">
      <c r="G214" s="6"/>
      <c r="H214" s="6"/>
      <c r="L214" s="6"/>
    </row>
    <row r="215">
      <c r="G215" s="6"/>
      <c r="H215" s="6"/>
      <c r="L215" s="6"/>
    </row>
    <row r="216">
      <c r="G216" s="6"/>
      <c r="H216" s="6"/>
      <c r="L216" s="6"/>
    </row>
    <row r="217">
      <c r="G217" s="6"/>
      <c r="H217" s="6"/>
      <c r="L217" s="6"/>
    </row>
    <row r="218">
      <c r="G218" s="6"/>
      <c r="H218" s="6"/>
      <c r="L218" s="6"/>
    </row>
    <row r="219">
      <c r="G219" s="6"/>
      <c r="H219" s="6"/>
      <c r="L219" s="6"/>
    </row>
    <row r="220">
      <c r="G220" s="6"/>
      <c r="H220" s="6"/>
      <c r="L220" s="6"/>
    </row>
    <row r="221">
      <c r="G221" s="6"/>
      <c r="H221" s="6"/>
      <c r="L221" s="6"/>
    </row>
    <row r="222">
      <c r="G222" s="6"/>
      <c r="H222" s="6"/>
      <c r="L222" s="6"/>
    </row>
    <row r="223">
      <c r="G223" s="6"/>
      <c r="H223" s="6"/>
      <c r="L223" s="6"/>
    </row>
    <row r="224">
      <c r="G224" s="6"/>
      <c r="H224" s="6"/>
      <c r="L224" s="6"/>
    </row>
    <row r="225">
      <c r="G225" s="6"/>
      <c r="H225" s="6"/>
      <c r="L225" s="6"/>
    </row>
    <row r="226">
      <c r="G226" s="6"/>
      <c r="H226" s="6"/>
      <c r="L226" s="6"/>
    </row>
    <row r="227">
      <c r="G227" s="6"/>
      <c r="H227" s="6"/>
      <c r="L227" s="6"/>
    </row>
    <row r="228">
      <c r="G228" s="6"/>
      <c r="H228" s="6"/>
      <c r="L228" s="6"/>
    </row>
    <row r="229">
      <c r="G229" s="6"/>
      <c r="H229" s="6"/>
      <c r="L229" s="6"/>
    </row>
    <row r="230">
      <c r="G230" s="6"/>
      <c r="H230" s="6"/>
      <c r="L230" s="6"/>
    </row>
    <row r="231">
      <c r="G231" s="6"/>
      <c r="H231" s="6"/>
      <c r="L231" s="6"/>
    </row>
    <row r="232">
      <c r="G232" s="6"/>
      <c r="H232" s="6"/>
      <c r="L232" s="6"/>
    </row>
    <row r="233">
      <c r="G233" s="6"/>
      <c r="H233" s="6"/>
      <c r="L233" s="6"/>
    </row>
    <row r="234">
      <c r="G234" s="6"/>
      <c r="H234" s="6"/>
      <c r="L234" s="6"/>
    </row>
    <row r="235">
      <c r="G235" s="6"/>
      <c r="H235" s="6"/>
      <c r="L235" s="6"/>
    </row>
    <row r="236">
      <c r="G236" s="6"/>
      <c r="H236" s="6"/>
      <c r="L236" s="6"/>
    </row>
    <row r="237">
      <c r="G237" s="6"/>
      <c r="H237" s="6"/>
      <c r="L237" s="6"/>
    </row>
    <row r="238">
      <c r="G238" s="6"/>
      <c r="H238" s="6"/>
      <c r="L238" s="6"/>
    </row>
    <row r="239">
      <c r="G239" s="6"/>
      <c r="H239" s="6"/>
      <c r="L239" s="6"/>
    </row>
    <row r="240">
      <c r="G240" s="6"/>
      <c r="H240" s="6"/>
      <c r="L240" s="6"/>
    </row>
    <row r="241">
      <c r="G241" s="6"/>
      <c r="H241" s="6"/>
      <c r="L241" s="6"/>
    </row>
    <row r="242">
      <c r="G242" s="6"/>
      <c r="H242" s="6"/>
      <c r="L242" s="6"/>
    </row>
    <row r="243">
      <c r="G243" s="6"/>
      <c r="H243" s="6"/>
      <c r="L243" s="6"/>
    </row>
    <row r="244">
      <c r="G244" s="6"/>
      <c r="H244" s="6"/>
      <c r="L244" s="6"/>
    </row>
    <row r="245">
      <c r="G245" s="6"/>
      <c r="H245" s="6"/>
      <c r="L245" s="6"/>
    </row>
    <row r="246">
      <c r="G246" s="6"/>
      <c r="H246" s="6"/>
      <c r="L246" s="6"/>
    </row>
    <row r="247">
      <c r="G247" s="6"/>
      <c r="H247" s="6"/>
      <c r="L247" s="6"/>
    </row>
    <row r="248">
      <c r="G248" s="6"/>
      <c r="H248" s="6"/>
      <c r="L248" s="6"/>
    </row>
    <row r="249">
      <c r="G249" s="6"/>
      <c r="H249" s="6"/>
      <c r="L249" s="6"/>
    </row>
    <row r="250">
      <c r="G250" s="6"/>
      <c r="H250" s="6"/>
      <c r="L250" s="6"/>
    </row>
    <row r="251">
      <c r="G251" s="6"/>
      <c r="H251" s="6"/>
      <c r="L251" s="6"/>
    </row>
    <row r="252">
      <c r="G252" s="6"/>
      <c r="H252" s="6"/>
      <c r="L252" s="6"/>
    </row>
    <row r="253">
      <c r="G253" s="6"/>
      <c r="H253" s="6"/>
      <c r="L253" s="6"/>
    </row>
    <row r="254">
      <c r="G254" s="6"/>
      <c r="H254" s="6"/>
      <c r="L254" s="6"/>
    </row>
    <row r="255">
      <c r="G255" s="6"/>
      <c r="H255" s="6"/>
      <c r="L255" s="6"/>
    </row>
    <row r="256">
      <c r="G256" s="6"/>
      <c r="H256" s="6"/>
      <c r="L256" s="6"/>
    </row>
    <row r="257">
      <c r="G257" s="6"/>
      <c r="H257" s="6"/>
      <c r="L257" s="6"/>
    </row>
    <row r="258">
      <c r="G258" s="6"/>
      <c r="H258" s="6"/>
      <c r="L258" s="6"/>
    </row>
    <row r="259">
      <c r="G259" s="6"/>
      <c r="H259" s="6"/>
      <c r="L259" s="6"/>
    </row>
    <row r="260">
      <c r="G260" s="6"/>
      <c r="H260" s="6"/>
      <c r="L260" s="6"/>
    </row>
    <row r="261">
      <c r="G261" s="6"/>
      <c r="H261" s="6"/>
      <c r="L261" s="6"/>
    </row>
    <row r="262">
      <c r="G262" s="6"/>
      <c r="H262" s="6"/>
      <c r="L262" s="6"/>
    </row>
    <row r="263">
      <c r="G263" s="6"/>
      <c r="H263" s="6"/>
      <c r="L263" s="6"/>
    </row>
    <row r="264">
      <c r="G264" s="6"/>
      <c r="H264" s="6"/>
      <c r="L264" s="6"/>
    </row>
    <row r="265">
      <c r="G265" s="6"/>
      <c r="H265" s="6"/>
      <c r="L265" s="6"/>
    </row>
    <row r="266">
      <c r="G266" s="6"/>
      <c r="H266" s="6"/>
      <c r="L266" s="6"/>
    </row>
    <row r="267">
      <c r="G267" s="6"/>
      <c r="H267" s="6"/>
      <c r="L267" s="6"/>
    </row>
    <row r="268">
      <c r="G268" s="6"/>
      <c r="H268" s="6"/>
      <c r="L268" s="6"/>
    </row>
    <row r="269">
      <c r="G269" s="6"/>
      <c r="H269" s="6"/>
      <c r="L269" s="6"/>
    </row>
    <row r="270">
      <c r="G270" s="6"/>
      <c r="H270" s="6"/>
      <c r="L270" s="6"/>
    </row>
    <row r="271">
      <c r="G271" s="6"/>
      <c r="H271" s="6"/>
      <c r="L271" s="6"/>
    </row>
    <row r="272">
      <c r="G272" s="6"/>
      <c r="H272" s="6"/>
      <c r="L272" s="6"/>
    </row>
    <row r="273">
      <c r="G273" s="6"/>
      <c r="H273" s="6"/>
      <c r="L273" s="6"/>
    </row>
    <row r="274">
      <c r="G274" s="6"/>
      <c r="H274" s="6"/>
      <c r="L274" s="6"/>
    </row>
    <row r="275">
      <c r="G275" s="6"/>
      <c r="H275" s="6"/>
      <c r="L275" s="6"/>
    </row>
    <row r="276">
      <c r="G276" s="6"/>
      <c r="H276" s="6"/>
      <c r="L276" s="6"/>
    </row>
    <row r="277">
      <c r="G277" s="6"/>
      <c r="H277" s="6"/>
      <c r="L277" s="6"/>
    </row>
    <row r="278">
      <c r="G278" s="6"/>
      <c r="H278" s="6"/>
      <c r="L278" s="6"/>
    </row>
    <row r="279">
      <c r="G279" s="6"/>
      <c r="H279" s="6"/>
      <c r="L279" s="6"/>
    </row>
    <row r="280">
      <c r="G280" s="6"/>
      <c r="H280" s="6"/>
      <c r="L280" s="6"/>
    </row>
    <row r="281">
      <c r="G281" s="6"/>
      <c r="H281" s="6"/>
      <c r="L281" s="6"/>
    </row>
    <row r="282">
      <c r="G282" s="6"/>
      <c r="H282" s="6"/>
      <c r="L282" s="6"/>
    </row>
    <row r="283">
      <c r="G283" s="6"/>
      <c r="H283" s="6"/>
      <c r="L283" s="6"/>
    </row>
    <row r="284">
      <c r="G284" s="6"/>
      <c r="H284" s="6"/>
      <c r="L284" s="6"/>
    </row>
    <row r="285">
      <c r="G285" s="6"/>
      <c r="H285" s="6"/>
      <c r="L285" s="6"/>
    </row>
    <row r="286">
      <c r="G286" s="6"/>
      <c r="H286" s="6"/>
      <c r="L286" s="6"/>
    </row>
    <row r="287">
      <c r="G287" s="6"/>
      <c r="H287" s="6"/>
      <c r="L287" s="6"/>
    </row>
    <row r="288">
      <c r="G288" s="6"/>
      <c r="H288" s="6"/>
      <c r="L288" s="6"/>
    </row>
    <row r="289">
      <c r="G289" s="6"/>
      <c r="H289" s="6"/>
      <c r="L289" s="6"/>
    </row>
    <row r="290">
      <c r="G290" s="6"/>
      <c r="H290" s="6"/>
      <c r="L290" s="6"/>
    </row>
    <row r="291">
      <c r="G291" s="6"/>
      <c r="H291" s="6"/>
      <c r="L291" s="6"/>
    </row>
    <row r="292">
      <c r="G292" s="6"/>
      <c r="H292" s="6"/>
      <c r="L292" s="6"/>
    </row>
    <row r="293">
      <c r="G293" s="6"/>
      <c r="H293" s="6"/>
      <c r="L293" s="6"/>
    </row>
    <row r="294">
      <c r="G294" s="6"/>
      <c r="H294" s="6"/>
      <c r="L294" s="6"/>
    </row>
    <row r="295">
      <c r="G295" s="6"/>
      <c r="H295" s="6"/>
      <c r="L295" s="6"/>
    </row>
    <row r="296">
      <c r="G296" s="6"/>
      <c r="H296" s="6"/>
      <c r="L296" s="6"/>
    </row>
    <row r="297">
      <c r="G297" s="6"/>
      <c r="H297" s="6"/>
      <c r="L297" s="6"/>
    </row>
    <row r="298">
      <c r="G298" s="6"/>
      <c r="H298" s="6"/>
      <c r="L298" s="6"/>
    </row>
    <row r="299">
      <c r="G299" s="6"/>
      <c r="H299" s="6"/>
      <c r="L299" s="6"/>
    </row>
    <row r="300">
      <c r="G300" s="6"/>
      <c r="H300" s="6"/>
      <c r="L300" s="6"/>
    </row>
    <row r="301">
      <c r="G301" s="6"/>
      <c r="H301" s="6"/>
      <c r="L301" s="6"/>
    </row>
    <row r="302">
      <c r="G302" s="6"/>
      <c r="H302" s="6"/>
      <c r="L302" s="6"/>
    </row>
    <row r="303">
      <c r="G303" s="6"/>
      <c r="H303" s="6"/>
      <c r="L303" s="6"/>
    </row>
    <row r="304">
      <c r="G304" s="6"/>
      <c r="H304" s="6"/>
      <c r="L304" s="6"/>
    </row>
    <row r="305">
      <c r="G305" s="6"/>
      <c r="H305" s="6"/>
      <c r="L305" s="6"/>
    </row>
    <row r="306">
      <c r="G306" s="6"/>
      <c r="H306" s="6"/>
      <c r="L306" s="6"/>
    </row>
    <row r="307">
      <c r="G307" s="6"/>
      <c r="H307" s="6"/>
      <c r="L307" s="6"/>
    </row>
    <row r="308">
      <c r="G308" s="6"/>
      <c r="H308" s="6"/>
      <c r="L308" s="6"/>
    </row>
    <row r="309">
      <c r="G309" s="6"/>
      <c r="H309" s="6"/>
      <c r="L309" s="6"/>
    </row>
    <row r="310">
      <c r="G310" s="6"/>
      <c r="H310" s="6"/>
      <c r="L310" s="6"/>
    </row>
    <row r="311">
      <c r="G311" s="6"/>
      <c r="H311" s="6"/>
      <c r="L311" s="6"/>
    </row>
    <row r="312">
      <c r="G312" s="6"/>
      <c r="H312" s="6"/>
      <c r="L312" s="6"/>
    </row>
    <row r="313">
      <c r="G313" s="6"/>
      <c r="H313" s="6"/>
      <c r="L313" s="6"/>
    </row>
    <row r="314">
      <c r="G314" s="6"/>
      <c r="H314" s="6"/>
      <c r="L314" s="6"/>
    </row>
    <row r="315">
      <c r="G315" s="6"/>
      <c r="H315" s="6"/>
      <c r="L315" s="6"/>
    </row>
    <row r="316">
      <c r="G316" s="6"/>
      <c r="H316" s="6"/>
      <c r="L316" s="6"/>
    </row>
    <row r="317">
      <c r="G317" s="6"/>
      <c r="H317" s="6"/>
      <c r="L317" s="6"/>
    </row>
    <row r="318">
      <c r="G318" s="6"/>
      <c r="H318" s="6"/>
      <c r="L318" s="6"/>
    </row>
    <row r="319">
      <c r="G319" s="6"/>
      <c r="H319" s="6"/>
      <c r="L319" s="6"/>
    </row>
    <row r="320">
      <c r="G320" s="6"/>
      <c r="H320" s="6"/>
      <c r="L320" s="6"/>
    </row>
    <row r="321">
      <c r="G321" s="6"/>
      <c r="H321" s="6"/>
      <c r="L321" s="6"/>
    </row>
    <row r="322">
      <c r="G322" s="6"/>
      <c r="H322" s="6"/>
      <c r="L322" s="6"/>
    </row>
    <row r="323">
      <c r="G323" s="6"/>
      <c r="H323" s="6"/>
      <c r="L323" s="6"/>
    </row>
    <row r="324">
      <c r="G324" s="6"/>
      <c r="H324" s="6"/>
      <c r="L324" s="6"/>
    </row>
    <row r="325">
      <c r="G325" s="6"/>
      <c r="H325" s="6"/>
      <c r="L325" s="6"/>
    </row>
    <row r="326">
      <c r="G326" s="6"/>
      <c r="H326" s="6"/>
      <c r="L326" s="6"/>
    </row>
    <row r="327">
      <c r="G327" s="6"/>
      <c r="H327" s="6"/>
      <c r="L327" s="6"/>
    </row>
    <row r="328">
      <c r="G328" s="6"/>
      <c r="H328" s="6"/>
      <c r="L328" s="6"/>
    </row>
    <row r="329">
      <c r="G329" s="6"/>
      <c r="H329" s="6"/>
      <c r="L329" s="6"/>
    </row>
    <row r="330">
      <c r="G330" s="6"/>
      <c r="H330" s="6"/>
      <c r="L330" s="6"/>
    </row>
    <row r="331">
      <c r="G331" s="6"/>
      <c r="H331" s="6"/>
      <c r="L331" s="6"/>
    </row>
    <row r="332">
      <c r="G332" s="6"/>
      <c r="H332" s="6"/>
      <c r="L332" s="6"/>
    </row>
    <row r="333">
      <c r="G333" s="6"/>
      <c r="H333" s="6"/>
      <c r="L333" s="6"/>
    </row>
    <row r="334">
      <c r="G334" s="6"/>
      <c r="H334" s="6"/>
      <c r="L334" s="6"/>
    </row>
    <row r="335">
      <c r="G335" s="6"/>
      <c r="H335" s="6"/>
      <c r="L335" s="6"/>
    </row>
    <row r="336">
      <c r="G336" s="6"/>
      <c r="H336" s="6"/>
      <c r="L336" s="6"/>
    </row>
    <row r="337">
      <c r="G337" s="6"/>
      <c r="H337" s="6"/>
      <c r="L337" s="6"/>
    </row>
    <row r="338">
      <c r="G338" s="6"/>
      <c r="H338" s="6"/>
      <c r="L338" s="6"/>
    </row>
    <row r="339">
      <c r="G339" s="6"/>
      <c r="H339" s="6"/>
      <c r="L339" s="6"/>
    </row>
    <row r="340">
      <c r="G340" s="6"/>
      <c r="H340" s="6"/>
      <c r="L340" s="6"/>
    </row>
    <row r="341">
      <c r="G341" s="6"/>
      <c r="H341" s="6"/>
      <c r="L341" s="6"/>
    </row>
    <row r="342">
      <c r="G342" s="6"/>
      <c r="H342" s="6"/>
      <c r="L342" s="6"/>
    </row>
    <row r="343">
      <c r="G343" s="6"/>
      <c r="H343" s="6"/>
      <c r="L343" s="6"/>
    </row>
    <row r="344">
      <c r="G344" s="6"/>
      <c r="H344" s="6"/>
      <c r="L344" s="6"/>
    </row>
    <row r="345">
      <c r="G345" s="6"/>
      <c r="H345" s="6"/>
      <c r="L345" s="6"/>
    </row>
    <row r="346">
      <c r="G346" s="6"/>
      <c r="H346" s="6"/>
      <c r="L346" s="6"/>
    </row>
    <row r="347">
      <c r="G347" s="6"/>
      <c r="H347" s="6"/>
      <c r="L347" s="6"/>
    </row>
    <row r="348">
      <c r="G348" s="6"/>
      <c r="H348" s="6"/>
      <c r="L348" s="6"/>
    </row>
    <row r="349">
      <c r="G349" s="6"/>
      <c r="H349" s="6"/>
      <c r="L349" s="6"/>
    </row>
    <row r="350">
      <c r="G350" s="6"/>
      <c r="H350" s="6"/>
      <c r="L350" s="6"/>
    </row>
    <row r="351">
      <c r="G351" s="6"/>
      <c r="H351" s="6"/>
      <c r="L351" s="6"/>
    </row>
    <row r="352">
      <c r="G352" s="6"/>
      <c r="H352" s="6"/>
      <c r="L352" s="6"/>
    </row>
    <row r="353">
      <c r="G353" s="6"/>
      <c r="H353" s="6"/>
      <c r="L353" s="6"/>
    </row>
    <row r="354">
      <c r="G354" s="6"/>
      <c r="H354" s="6"/>
      <c r="L354" s="6"/>
    </row>
    <row r="355">
      <c r="G355" s="6"/>
      <c r="H355" s="6"/>
      <c r="L355" s="6"/>
    </row>
    <row r="356">
      <c r="G356" s="6"/>
      <c r="H356" s="6"/>
      <c r="L356" s="6"/>
    </row>
    <row r="357">
      <c r="G357" s="6"/>
      <c r="H357" s="6"/>
      <c r="L357" s="6"/>
    </row>
    <row r="358">
      <c r="G358" s="6"/>
      <c r="H358" s="6"/>
      <c r="L358" s="6"/>
    </row>
    <row r="359">
      <c r="G359" s="6"/>
      <c r="H359" s="6"/>
      <c r="L359" s="6"/>
    </row>
    <row r="360">
      <c r="G360" s="6"/>
      <c r="H360" s="6"/>
      <c r="L360" s="6"/>
    </row>
    <row r="361">
      <c r="G361" s="6"/>
      <c r="H361" s="6"/>
      <c r="L361" s="6"/>
    </row>
    <row r="362">
      <c r="G362" s="6"/>
      <c r="H362" s="6"/>
      <c r="L362" s="6"/>
    </row>
    <row r="363">
      <c r="G363" s="6"/>
      <c r="H363" s="6"/>
      <c r="L363" s="6"/>
    </row>
    <row r="364">
      <c r="G364" s="6"/>
      <c r="H364" s="6"/>
      <c r="L364" s="6"/>
    </row>
    <row r="365">
      <c r="G365" s="6"/>
      <c r="H365" s="6"/>
      <c r="L365" s="6"/>
    </row>
    <row r="366">
      <c r="G366" s="6"/>
      <c r="H366" s="6"/>
      <c r="L366" s="6"/>
    </row>
    <row r="367">
      <c r="G367" s="6"/>
      <c r="H367" s="6"/>
      <c r="L367" s="6"/>
    </row>
    <row r="368">
      <c r="G368" s="6"/>
      <c r="H368" s="6"/>
      <c r="L368" s="6"/>
    </row>
    <row r="369">
      <c r="G369" s="6"/>
      <c r="H369" s="6"/>
      <c r="L369" s="6"/>
    </row>
    <row r="370">
      <c r="G370" s="6"/>
      <c r="H370" s="6"/>
      <c r="L370" s="6"/>
    </row>
    <row r="371">
      <c r="G371" s="6"/>
      <c r="H371" s="6"/>
      <c r="L371" s="6"/>
    </row>
    <row r="372">
      <c r="G372" s="6"/>
      <c r="H372" s="6"/>
      <c r="L372" s="6"/>
    </row>
    <row r="373">
      <c r="G373" s="6"/>
      <c r="H373" s="6"/>
      <c r="L373" s="6"/>
    </row>
    <row r="374">
      <c r="G374" s="6"/>
      <c r="H374" s="6"/>
      <c r="L374" s="6"/>
    </row>
    <row r="375">
      <c r="G375" s="6"/>
      <c r="H375" s="6"/>
      <c r="L375" s="6"/>
    </row>
    <row r="376">
      <c r="G376" s="6"/>
      <c r="H376" s="6"/>
      <c r="L376" s="6"/>
    </row>
    <row r="377">
      <c r="G377" s="6"/>
      <c r="H377" s="6"/>
      <c r="L377" s="6"/>
    </row>
    <row r="378">
      <c r="G378" s="6"/>
      <c r="H378" s="6"/>
      <c r="L378" s="6"/>
    </row>
    <row r="379">
      <c r="G379" s="6"/>
      <c r="H379" s="6"/>
      <c r="L379" s="6"/>
    </row>
    <row r="380">
      <c r="G380" s="6"/>
      <c r="H380" s="6"/>
      <c r="L380" s="6"/>
    </row>
    <row r="381">
      <c r="G381" s="6"/>
      <c r="H381" s="6"/>
      <c r="L381" s="6"/>
    </row>
    <row r="382">
      <c r="G382" s="6"/>
      <c r="H382" s="6"/>
      <c r="L382" s="6"/>
    </row>
    <row r="383">
      <c r="G383" s="6"/>
      <c r="H383" s="6"/>
      <c r="L383" s="6"/>
    </row>
    <row r="384">
      <c r="G384" s="6"/>
      <c r="H384" s="6"/>
      <c r="L384" s="6"/>
    </row>
    <row r="385">
      <c r="G385" s="6"/>
      <c r="H385" s="6"/>
      <c r="L385" s="6"/>
    </row>
    <row r="386">
      <c r="G386" s="6"/>
      <c r="H386" s="6"/>
      <c r="L386" s="6"/>
    </row>
    <row r="387">
      <c r="G387" s="6"/>
      <c r="H387" s="6"/>
      <c r="L387" s="6"/>
    </row>
    <row r="388">
      <c r="G388" s="6"/>
      <c r="H388" s="6"/>
      <c r="L388" s="6"/>
    </row>
    <row r="389">
      <c r="G389" s="6"/>
      <c r="H389" s="6"/>
      <c r="L389" s="6"/>
    </row>
    <row r="390">
      <c r="G390" s="6"/>
      <c r="H390" s="6"/>
      <c r="L390" s="6"/>
    </row>
    <row r="391">
      <c r="G391" s="6"/>
      <c r="H391" s="6"/>
      <c r="L391" s="6"/>
    </row>
    <row r="392">
      <c r="G392" s="6"/>
      <c r="H392" s="6"/>
      <c r="L392" s="6"/>
    </row>
    <row r="393">
      <c r="G393" s="6"/>
      <c r="H393" s="6"/>
      <c r="L393" s="6"/>
    </row>
    <row r="394">
      <c r="G394" s="6"/>
      <c r="H394" s="6"/>
      <c r="L394" s="6"/>
    </row>
    <row r="395">
      <c r="G395" s="6"/>
      <c r="H395" s="6"/>
      <c r="L395" s="6"/>
    </row>
    <row r="396">
      <c r="G396" s="6"/>
      <c r="H396" s="6"/>
      <c r="L396" s="6"/>
    </row>
    <row r="397">
      <c r="G397" s="6"/>
      <c r="H397" s="6"/>
      <c r="L397" s="6"/>
    </row>
    <row r="398">
      <c r="G398" s="6"/>
      <c r="H398" s="6"/>
      <c r="L398" s="6"/>
    </row>
    <row r="399">
      <c r="G399" s="6"/>
      <c r="H399" s="6"/>
      <c r="L399" s="6"/>
    </row>
    <row r="400">
      <c r="G400" s="6"/>
      <c r="H400" s="6"/>
      <c r="L400" s="6"/>
    </row>
    <row r="401">
      <c r="G401" s="6"/>
      <c r="H401" s="6"/>
      <c r="L401" s="6"/>
    </row>
    <row r="402">
      <c r="G402" s="6"/>
      <c r="H402" s="6"/>
      <c r="L402" s="6"/>
    </row>
    <row r="403">
      <c r="G403" s="6"/>
      <c r="H403" s="6"/>
      <c r="L403" s="6"/>
    </row>
    <row r="404">
      <c r="G404" s="6"/>
      <c r="H404" s="6"/>
      <c r="L404" s="6"/>
    </row>
    <row r="405">
      <c r="G405" s="6"/>
      <c r="H405" s="6"/>
      <c r="L405" s="6"/>
    </row>
    <row r="406">
      <c r="G406" s="6"/>
      <c r="H406" s="6"/>
      <c r="L406" s="6"/>
    </row>
    <row r="407">
      <c r="G407" s="6"/>
      <c r="H407" s="6"/>
      <c r="L407" s="6"/>
    </row>
    <row r="408">
      <c r="G408" s="6"/>
      <c r="H408" s="6"/>
      <c r="L408" s="6"/>
    </row>
    <row r="409">
      <c r="G409" s="6"/>
      <c r="H409" s="6"/>
      <c r="L409" s="6"/>
    </row>
    <row r="410">
      <c r="G410" s="6"/>
      <c r="H410" s="6"/>
      <c r="L410" s="6"/>
    </row>
    <row r="411">
      <c r="G411" s="6"/>
      <c r="H411" s="6"/>
      <c r="L411" s="6"/>
    </row>
    <row r="412">
      <c r="G412" s="6"/>
      <c r="H412" s="6"/>
      <c r="L412" s="6"/>
    </row>
    <row r="413">
      <c r="G413" s="6"/>
      <c r="H413" s="6"/>
      <c r="L413" s="6"/>
    </row>
    <row r="414">
      <c r="G414" s="6"/>
      <c r="H414" s="6"/>
      <c r="L414" s="6"/>
    </row>
    <row r="415">
      <c r="G415" s="6"/>
      <c r="H415" s="6"/>
      <c r="L415" s="6"/>
    </row>
    <row r="416">
      <c r="G416" s="6"/>
      <c r="H416" s="6"/>
      <c r="L416" s="6"/>
    </row>
    <row r="417">
      <c r="G417" s="6"/>
      <c r="H417" s="6"/>
      <c r="L417" s="6"/>
    </row>
    <row r="418">
      <c r="G418" s="6"/>
      <c r="H418" s="6"/>
      <c r="L418" s="6"/>
    </row>
    <row r="419">
      <c r="G419" s="6"/>
      <c r="H419" s="6"/>
      <c r="L419" s="6"/>
    </row>
    <row r="420">
      <c r="G420" s="6"/>
      <c r="H420" s="6"/>
      <c r="L420" s="6"/>
    </row>
    <row r="421">
      <c r="G421" s="6"/>
      <c r="H421" s="6"/>
      <c r="L421" s="6"/>
    </row>
    <row r="422">
      <c r="G422" s="6"/>
      <c r="H422" s="6"/>
      <c r="L422" s="6"/>
    </row>
    <row r="423">
      <c r="G423" s="6"/>
      <c r="H423" s="6"/>
      <c r="L423" s="6"/>
    </row>
    <row r="424">
      <c r="G424" s="6"/>
      <c r="H424" s="6"/>
      <c r="L424" s="6"/>
    </row>
    <row r="425">
      <c r="G425" s="6"/>
      <c r="H425" s="6"/>
      <c r="L425" s="6"/>
    </row>
    <row r="426">
      <c r="G426" s="6"/>
      <c r="H426" s="6"/>
      <c r="L426" s="6"/>
    </row>
    <row r="427">
      <c r="G427" s="6"/>
      <c r="H427" s="6"/>
      <c r="L427" s="6"/>
    </row>
    <row r="428">
      <c r="G428" s="6"/>
      <c r="H428" s="6"/>
      <c r="L428" s="6"/>
    </row>
    <row r="429">
      <c r="G429" s="6"/>
      <c r="H429" s="6"/>
      <c r="L429" s="6"/>
    </row>
    <row r="430">
      <c r="G430" s="6"/>
      <c r="H430" s="6"/>
      <c r="L430" s="6"/>
    </row>
    <row r="431">
      <c r="G431" s="6"/>
      <c r="H431" s="6"/>
      <c r="L431" s="6"/>
    </row>
    <row r="432">
      <c r="G432" s="6"/>
      <c r="H432" s="6"/>
      <c r="L432" s="6"/>
    </row>
    <row r="433">
      <c r="G433" s="6"/>
      <c r="H433" s="6"/>
      <c r="L433" s="6"/>
    </row>
    <row r="434">
      <c r="G434" s="6"/>
      <c r="H434" s="6"/>
      <c r="L434" s="6"/>
    </row>
    <row r="435">
      <c r="G435" s="6"/>
      <c r="H435" s="6"/>
      <c r="L435" s="6"/>
    </row>
    <row r="436">
      <c r="G436" s="6"/>
      <c r="H436" s="6"/>
      <c r="L436" s="6"/>
    </row>
    <row r="437">
      <c r="G437" s="6"/>
      <c r="H437" s="6"/>
      <c r="L437" s="6"/>
    </row>
    <row r="438">
      <c r="G438" s="6"/>
      <c r="H438" s="6"/>
      <c r="L438" s="6"/>
    </row>
    <row r="439">
      <c r="G439" s="6"/>
      <c r="H439" s="6"/>
      <c r="L439" s="6"/>
    </row>
    <row r="440">
      <c r="G440" s="6"/>
      <c r="H440" s="6"/>
      <c r="L440" s="6"/>
    </row>
    <row r="441">
      <c r="G441" s="6"/>
      <c r="H441" s="6"/>
      <c r="L441" s="6"/>
    </row>
    <row r="442">
      <c r="G442" s="6"/>
      <c r="H442" s="6"/>
      <c r="L442" s="6"/>
    </row>
    <row r="443">
      <c r="G443" s="6"/>
      <c r="H443" s="6"/>
      <c r="L443" s="6"/>
    </row>
    <row r="444">
      <c r="G444" s="6"/>
      <c r="H444" s="6"/>
      <c r="L444" s="6"/>
    </row>
    <row r="445">
      <c r="G445" s="6"/>
      <c r="H445" s="6"/>
      <c r="L445" s="6"/>
    </row>
    <row r="446">
      <c r="G446" s="6"/>
      <c r="H446" s="6"/>
      <c r="L446" s="6"/>
    </row>
    <row r="447">
      <c r="G447" s="6"/>
      <c r="H447" s="6"/>
      <c r="L447" s="6"/>
    </row>
    <row r="448">
      <c r="G448" s="6"/>
      <c r="H448" s="6"/>
      <c r="L448" s="6"/>
    </row>
    <row r="449">
      <c r="G449" s="6"/>
      <c r="H449" s="6"/>
      <c r="L449" s="6"/>
    </row>
    <row r="450">
      <c r="G450" s="6"/>
      <c r="H450" s="6"/>
      <c r="L450" s="6"/>
    </row>
    <row r="451">
      <c r="G451" s="6"/>
      <c r="H451" s="6"/>
      <c r="L451" s="6"/>
    </row>
    <row r="452">
      <c r="G452" s="6"/>
      <c r="H452" s="6"/>
      <c r="L452" s="6"/>
    </row>
    <row r="453">
      <c r="G453" s="6"/>
      <c r="H453" s="6"/>
      <c r="L453" s="6"/>
    </row>
    <row r="454">
      <c r="G454" s="6"/>
      <c r="H454" s="6"/>
      <c r="L454" s="6"/>
    </row>
    <row r="455">
      <c r="G455" s="6"/>
      <c r="H455" s="6"/>
      <c r="L455" s="6"/>
    </row>
    <row r="456">
      <c r="G456" s="6"/>
      <c r="H456" s="6"/>
      <c r="L456" s="6"/>
    </row>
    <row r="457">
      <c r="G457" s="6"/>
      <c r="H457" s="6"/>
      <c r="L457" s="6"/>
    </row>
    <row r="458">
      <c r="G458" s="6"/>
      <c r="H458" s="6"/>
      <c r="L458" s="6"/>
    </row>
    <row r="459">
      <c r="G459" s="6"/>
      <c r="H459" s="6"/>
      <c r="L459" s="6"/>
    </row>
    <row r="460">
      <c r="G460" s="6"/>
      <c r="H460" s="6"/>
      <c r="L460" s="6"/>
    </row>
    <row r="461">
      <c r="G461" s="6"/>
      <c r="H461" s="6"/>
      <c r="L461" s="6"/>
    </row>
    <row r="462">
      <c r="G462" s="6"/>
      <c r="H462" s="6"/>
      <c r="L462" s="6"/>
    </row>
    <row r="463">
      <c r="G463" s="6"/>
      <c r="H463" s="6"/>
      <c r="L463" s="6"/>
    </row>
    <row r="464">
      <c r="G464" s="6"/>
      <c r="H464" s="6"/>
      <c r="L464" s="6"/>
    </row>
    <row r="465">
      <c r="G465" s="6"/>
      <c r="H465" s="6"/>
      <c r="L465" s="6"/>
    </row>
    <row r="466">
      <c r="G466" s="6"/>
      <c r="H466" s="6"/>
      <c r="L466" s="6"/>
    </row>
    <row r="467">
      <c r="G467" s="6"/>
      <c r="H467" s="6"/>
      <c r="L467" s="6"/>
    </row>
    <row r="468">
      <c r="G468" s="6"/>
      <c r="H468" s="6"/>
      <c r="L468" s="6"/>
    </row>
    <row r="469">
      <c r="G469" s="6"/>
      <c r="H469" s="6"/>
      <c r="L469" s="6"/>
    </row>
    <row r="470">
      <c r="G470" s="6"/>
      <c r="H470" s="6"/>
      <c r="L470" s="6"/>
    </row>
    <row r="471">
      <c r="G471" s="6"/>
      <c r="H471" s="6"/>
      <c r="L471" s="6"/>
    </row>
    <row r="472">
      <c r="G472" s="6"/>
      <c r="H472" s="6"/>
      <c r="L472" s="6"/>
    </row>
    <row r="473">
      <c r="G473" s="6"/>
      <c r="H473" s="6"/>
      <c r="L473" s="6"/>
    </row>
    <row r="474">
      <c r="G474" s="6"/>
      <c r="H474" s="6"/>
      <c r="L474" s="6"/>
    </row>
    <row r="475">
      <c r="G475" s="6"/>
      <c r="H475" s="6"/>
      <c r="L475" s="6"/>
    </row>
    <row r="476">
      <c r="G476" s="6"/>
      <c r="H476" s="6"/>
      <c r="L476" s="6"/>
    </row>
    <row r="477">
      <c r="G477" s="6"/>
      <c r="H477" s="6"/>
      <c r="L477" s="6"/>
    </row>
    <row r="478">
      <c r="G478" s="6"/>
      <c r="H478" s="6"/>
      <c r="L478" s="6"/>
    </row>
    <row r="479">
      <c r="G479" s="6"/>
      <c r="H479" s="6"/>
      <c r="L479" s="6"/>
    </row>
    <row r="480">
      <c r="G480" s="6"/>
      <c r="H480" s="6"/>
      <c r="L480" s="6"/>
    </row>
    <row r="481">
      <c r="G481" s="6"/>
      <c r="H481" s="6"/>
      <c r="L481" s="6"/>
    </row>
    <row r="482">
      <c r="G482" s="6"/>
      <c r="H482" s="6"/>
      <c r="L482" s="6"/>
    </row>
    <row r="483">
      <c r="G483" s="6"/>
      <c r="H483" s="6"/>
      <c r="L483" s="6"/>
    </row>
    <row r="484">
      <c r="G484" s="6"/>
      <c r="H484" s="6"/>
      <c r="L484" s="6"/>
    </row>
    <row r="485">
      <c r="G485" s="6"/>
      <c r="H485" s="6"/>
      <c r="L485" s="6"/>
    </row>
    <row r="486">
      <c r="G486" s="6"/>
      <c r="H486" s="6"/>
      <c r="L486" s="6"/>
    </row>
    <row r="487">
      <c r="G487" s="6"/>
      <c r="H487" s="6"/>
      <c r="L487" s="6"/>
    </row>
    <row r="488">
      <c r="G488" s="6"/>
      <c r="H488" s="6"/>
      <c r="L488" s="6"/>
    </row>
    <row r="489">
      <c r="G489" s="6"/>
      <c r="H489" s="6"/>
      <c r="L489" s="6"/>
    </row>
    <row r="490">
      <c r="G490" s="6"/>
      <c r="H490" s="6"/>
      <c r="L490" s="6"/>
    </row>
    <row r="491">
      <c r="G491" s="6"/>
      <c r="H491" s="6"/>
      <c r="L491" s="6"/>
    </row>
    <row r="492">
      <c r="G492" s="6"/>
      <c r="H492" s="6"/>
      <c r="L492" s="6"/>
    </row>
    <row r="493">
      <c r="G493" s="6"/>
      <c r="H493" s="6"/>
      <c r="L493" s="6"/>
    </row>
    <row r="494">
      <c r="G494" s="6"/>
      <c r="H494" s="6"/>
      <c r="L494" s="6"/>
    </row>
    <row r="495">
      <c r="G495" s="6"/>
      <c r="H495" s="6"/>
      <c r="L495" s="6"/>
    </row>
    <row r="496">
      <c r="G496" s="6"/>
      <c r="H496" s="6"/>
      <c r="L496" s="6"/>
    </row>
    <row r="497">
      <c r="G497" s="6"/>
      <c r="H497" s="6"/>
      <c r="L497" s="6"/>
    </row>
    <row r="498">
      <c r="G498" s="6"/>
      <c r="H498" s="6"/>
      <c r="L498" s="6"/>
    </row>
    <row r="499">
      <c r="G499" s="6"/>
      <c r="H499" s="6"/>
      <c r="L499" s="6"/>
    </row>
    <row r="500">
      <c r="G500" s="6"/>
      <c r="H500" s="6"/>
      <c r="L500" s="6"/>
    </row>
    <row r="501">
      <c r="G501" s="6"/>
      <c r="H501" s="6"/>
      <c r="L501" s="6"/>
    </row>
    <row r="502">
      <c r="G502" s="6"/>
      <c r="H502" s="6"/>
      <c r="L502" s="6"/>
    </row>
    <row r="503">
      <c r="G503" s="6"/>
      <c r="H503" s="6"/>
      <c r="L503" s="6"/>
    </row>
    <row r="504">
      <c r="G504" s="6"/>
      <c r="H504" s="6"/>
      <c r="L504" s="6"/>
    </row>
    <row r="505">
      <c r="G505" s="6"/>
      <c r="H505" s="6"/>
      <c r="L505" s="6"/>
    </row>
    <row r="506">
      <c r="G506" s="6"/>
      <c r="H506" s="6"/>
      <c r="L506" s="6"/>
    </row>
    <row r="507">
      <c r="G507" s="6"/>
      <c r="H507" s="6"/>
      <c r="L507" s="6"/>
    </row>
    <row r="508">
      <c r="G508" s="6"/>
      <c r="H508" s="6"/>
      <c r="L508" s="6"/>
    </row>
    <row r="509">
      <c r="G509" s="6"/>
      <c r="H509" s="6"/>
      <c r="L509" s="6"/>
    </row>
    <row r="510">
      <c r="G510" s="6"/>
      <c r="H510" s="6"/>
      <c r="L510" s="6"/>
    </row>
    <row r="511">
      <c r="G511" s="6"/>
      <c r="H511" s="6"/>
      <c r="L511" s="6"/>
    </row>
    <row r="512">
      <c r="G512" s="6"/>
      <c r="H512" s="6"/>
      <c r="L512" s="6"/>
    </row>
    <row r="513">
      <c r="G513" s="6"/>
      <c r="H513" s="6"/>
      <c r="L513" s="6"/>
    </row>
    <row r="514">
      <c r="G514" s="6"/>
      <c r="H514" s="6"/>
      <c r="L514" s="6"/>
    </row>
    <row r="515">
      <c r="G515" s="6"/>
      <c r="H515" s="6"/>
      <c r="L515" s="6"/>
    </row>
    <row r="516">
      <c r="G516" s="6"/>
      <c r="H516" s="6"/>
      <c r="L516" s="6"/>
    </row>
    <row r="517">
      <c r="G517" s="6"/>
      <c r="H517" s="6"/>
      <c r="L517" s="6"/>
    </row>
    <row r="518">
      <c r="G518" s="6"/>
      <c r="H518" s="6"/>
      <c r="L518" s="6"/>
    </row>
    <row r="519">
      <c r="G519" s="6"/>
      <c r="H519" s="6"/>
      <c r="L519" s="6"/>
    </row>
    <row r="520">
      <c r="G520" s="6"/>
      <c r="H520" s="6"/>
      <c r="L520" s="6"/>
    </row>
    <row r="521">
      <c r="G521" s="6"/>
      <c r="H521" s="6"/>
      <c r="L521" s="6"/>
    </row>
    <row r="522">
      <c r="G522" s="6"/>
      <c r="H522" s="6"/>
      <c r="L522" s="6"/>
    </row>
    <row r="523">
      <c r="G523" s="6"/>
      <c r="H523" s="6"/>
      <c r="L523" s="6"/>
    </row>
    <row r="524">
      <c r="G524" s="6"/>
      <c r="H524" s="6"/>
      <c r="L524" s="6"/>
    </row>
    <row r="525">
      <c r="G525" s="6"/>
      <c r="H525" s="6"/>
      <c r="L525" s="6"/>
    </row>
    <row r="526">
      <c r="G526" s="6"/>
      <c r="H526" s="6"/>
      <c r="L526" s="6"/>
    </row>
    <row r="527">
      <c r="G527" s="6"/>
      <c r="H527" s="6"/>
      <c r="L527" s="6"/>
    </row>
    <row r="528">
      <c r="G528" s="6"/>
      <c r="H528" s="6"/>
      <c r="L528" s="6"/>
    </row>
    <row r="529">
      <c r="G529" s="6"/>
      <c r="H529" s="6"/>
      <c r="L529" s="6"/>
    </row>
    <row r="530">
      <c r="G530" s="6"/>
      <c r="H530" s="6"/>
      <c r="L530" s="6"/>
    </row>
    <row r="531">
      <c r="G531" s="6"/>
      <c r="H531" s="6"/>
      <c r="L531" s="6"/>
    </row>
    <row r="532">
      <c r="G532" s="6"/>
      <c r="H532" s="6"/>
      <c r="L532" s="6"/>
    </row>
    <row r="533">
      <c r="G533" s="6"/>
      <c r="H533" s="6"/>
      <c r="L533" s="6"/>
    </row>
    <row r="534">
      <c r="G534" s="6"/>
      <c r="H534" s="6"/>
      <c r="L534" s="6"/>
    </row>
    <row r="535">
      <c r="G535" s="6"/>
      <c r="H535" s="6"/>
      <c r="L535" s="6"/>
    </row>
    <row r="536">
      <c r="G536" s="6"/>
      <c r="H536" s="6"/>
      <c r="L536" s="6"/>
    </row>
    <row r="537">
      <c r="G537" s="6"/>
      <c r="H537" s="6"/>
      <c r="L537" s="6"/>
    </row>
    <row r="538">
      <c r="G538" s="6"/>
      <c r="H538" s="6"/>
      <c r="L538" s="6"/>
    </row>
    <row r="539">
      <c r="G539" s="6"/>
      <c r="H539" s="6"/>
      <c r="L539" s="6"/>
    </row>
    <row r="540">
      <c r="G540" s="6"/>
      <c r="H540" s="6"/>
      <c r="L540" s="6"/>
    </row>
    <row r="541">
      <c r="G541" s="6"/>
      <c r="H541" s="6"/>
      <c r="L541" s="6"/>
    </row>
    <row r="542">
      <c r="G542" s="6"/>
      <c r="H542" s="6"/>
      <c r="L542" s="6"/>
    </row>
    <row r="543">
      <c r="G543" s="6"/>
      <c r="H543" s="6"/>
      <c r="L543" s="6"/>
    </row>
    <row r="544">
      <c r="G544" s="6"/>
      <c r="H544" s="6"/>
      <c r="L544" s="6"/>
    </row>
    <row r="545">
      <c r="G545" s="6"/>
      <c r="H545" s="6"/>
      <c r="L545" s="6"/>
    </row>
    <row r="546">
      <c r="G546" s="6"/>
      <c r="H546" s="6"/>
      <c r="L546" s="6"/>
    </row>
    <row r="547">
      <c r="G547" s="6"/>
      <c r="H547" s="6"/>
      <c r="L547" s="6"/>
    </row>
    <row r="548">
      <c r="G548" s="6"/>
      <c r="H548" s="6"/>
      <c r="L548" s="6"/>
    </row>
    <row r="549">
      <c r="G549" s="6"/>
      <c r="H549" s="6"/>
      <c r="L549" s="6"/>
    </row>
    <row r="550">
      <c r="G550" s="6"/>
      <c r="H550" s="6"/>
      <c r="L550" s="6"/>
    </row>
    <row r="551">
      <c r="G551" s="6"/>
      <c r="H551" s="6"/>
      <c r="L551" s="6"/>
    </row>
    <row r="552">
      <c r="G552" s="6"/>
      <c r="H552" s="6"/>
      <c r="L552" s="6"/>
    </row>
    <row r="553">
      <c r="G553" s="6"/>
      <c r="H553" s="6"/>
      <c r="L553" s="6"/>
    </row>
    <row r="554">
      <c r="G554" s="6"/>
      <c r="H554" s="6"/>
      <c r="L554" s="6"/>
    </row>
    <row r="555">
      <c r="G555" s="6"/>
      <c r="H555" s="6"/>
      <c r="L555" s="6"/>
    </row>
    <row r="556">
      <c r="G556" s="6"/>
      <c r="H556" s="6"/>
      <c r="L556" s="6"/>
    </row>
    <row r="557">
      <c r="G557" s="6"/>
      <c r="H557" s="6"/>
      <c r="L557" s="6"/>
    </row>
    <row r="558">
      <c r="G558" s="6"/>
      <c r="H558" s="6"/>
      <c r="L558" s="6"/>
    </row>
    <row r="559">
      <c r="G559" s="6"/>
      <c r="H559" s="6"/>
      <c r="L559" s="6"/>
    </row>
    <row r="560">
      <c r="G560" s="6"/>
      <c r="H560" s="6"/>
      <c r="L560" s="6"/>
    </row>
    <row r="561">
      <c r="G561" s="6"/>
      <c r="H561" s="6"/>
      <c r="L561" s="6"/>
    </row>
    <row r="562">
      <c r="G562" s="6"/>
      <c r="H562" s="6"/>
      <c r="L562" s="6"/>
    </row>
    <row r="563">
      <c r="G563" s="6"/>
      <c r="H563" s="6"/>
      <c r="L563" s="6"/>
    </row>
    <row r="564">
      <c r="G564" s="6"/>
      <c r="H564" s="6"/>
      <c r="L564" s="6"/>
    </row>
    <row r="565">
      <c r="G565" s="6"/>
      <c r="H565" s="6"/>
      <c r="L565" s="6"/>
    </row>
    <row r="566">
      <c r="G566" s="6"/>
      <c r="H566" s="6"/>
      <c r="L566" s="6"/>
    </row>
    <row r="567">
      <c r="G567" s="6"/>
      <c r="H567" s="6"/>
      <c r="L567" s="6"/>
    </row>
    <row r="568">
      <c r="G568" s="6"/>
      <c r="H568" s="6"/>
      <c r="L568" s="6"/>
    </row>
    <row r="569">
      <c r="G569" s="6"/>
      <c r="H569" s="6"/>
      <c r="L569" s="6"/>
    </row>
    <row r="570">
      <c r="G570" s="6"/>
      <c r="H570" s="6"/>
      <c r="L570" s="6"/>
    </row>
    <row r="571">
      <c r="G571" s="6"/>
      <c r="H571" s="6"/>
      <c r="L571" s="6"/>
    </row>
    <row r="572">
      <c r="G572" s="6"/>
      <c r="H572" s="6"/>
      <c r="L572" s="6"/>
    </row>
    <row r="573">
      <c r="G573" s="6"/>
      <c r="H573" s="6"/>
      <c r="L573" s="6"/>
    </row>
    <row r="574">
      <c r="G574" s="6"/>
      <c r="H574" s="6"/>
      <c r="L574" s="6"/>
    </row>
    <row r="575">
      <c r="G575" s="6"/>
      <c r="H575" s="6"/>
      <c r="L575" s="6"/>
    </row>
    <row r="576">
      <c r="G576" s="6"/>
      <c r="H576" s="6"/>
      <c r="L576" s="6"/>
    </row>
    <row r="577">
      <c r="G577" s="6"/>
      <c r="H577" s="6"/>
      <c r="L577" s="6"/>
    </row>
    <row r="578">
      <c r="G578" s="6"/>
      <c r="H578" s="6"/>
      <c r="L578" s="6"/>
    </row>
    <row r="579">
      <c r="G579" s="6"/>
      <c r="H579" s="6"/>
      <c r="L579" s="6"/>
    </row>
    <row r="580">
      <c r="G580" s="6"/>
      <c r="H580" s="6"/>
      <c r="L580" s="6"/>
    </row>
    <row r="581">
      <c r="G581" s="6"/>
      <c r="H581" s="6"/>
      <c r="L581" s="6"/>
    </row>
    <row r="582">
      <c r="G582" s="6"/>
      <c r="H582" s="6"/>
      <c r="L582" s="6"/>
    </row>
    <row r="583">
      <c r="G583" s="6"/>
      <c r="H583" s="6"/>
      <c r="L583" s="6"/>
    </row>
    <row r="584">
      <c r="G584" s="6"/>
      <c r="H584" s="6"/>
      <c r="L584" s="6"/>
    </row>
    <row r="585">
      <c r="G585" s="6"/>
      <c r="H585" s="6"/>
      <c r="L585" s="6"/>
    </row>
    <row r="586">
      <c r="G586" s="6"/>
      <c r="H586" s="6"/>
      <c r="L586" s="6"/>
    </row>
    <row r="587">
      <c r="G587" s="6"/>
      <c r="H587" s="6"/>
      <c r="L587" s="6"/>
    </row>
    <row r="588">
      <c r="G588" s="6"/>
      <c r="H588" s="6"/>
      <c r="L588" s="6"/>
    </row>
    <row r="589">
      <c r="G589" s="6"/>
      <c r="H589" s="6"/>
      <c r="L589" s="6"/>
    </row>
    <row r="590">
      <c r="G590" s="6"/>
      <c r="H590" s="6"/>
      <c r="L590" s="6"/>
    </row>
    <row r="591">
      <c r="G591" s="6"/>
      <c r="H591" s="6"/>
      <c r="L591" s="6"/>
    </row>
    <row r="592">
      <c r="G592" s="6"/>
      <c r="H592" s="6"/>
      <c r="L592" s="6"/>
    </row>
    <row r="593">
      <c r="G593" s="6"/>
      <c r="H593" s="6"/>
      <c r="L593" s="6"/>
    </row>
    <row r="594">
      <c r="G594" s="6"/>
      <c r="H594" s="6"/>
      <c r="L594" s="6"/>
    </row>
    <row r="595">
      <c r="G595" s="6"/>
      <c r="H595" s="6"/>
      <c r="L595" s="6"/>
    </row>
    <row r="596">
      <c r="G596" s="6"/>
      <c r="H596" s="6"/>
      <c r="L596" s="6"/>
    </row>
    <row r="597">
      <c r="G597" s="6"/>
      <c r="H597" s="6"/>
      <c r="L597" s="6"/>
    </row>
    <row r="598">
      <c r="G598" s="6"/>
      <c r="H598" s="6"/>
      <c r="L598" s="6"/>
    </row>
    <row r="599">
      <c r="G599" s="6"/>
      <c r="H599" s="6"/>
      <c r="L599" s="6"/>
    </row>
    <row r="600">
      <c r="G600" s="6"/>
      <c r="H600" s="6"/>
      <c r="L600" s="6"/>
    </row>
    <row r="601">
      <c r="G601" s="6"/>
      <c r="H601" s="6"/>
      <c r="L601" s="6"/>
    </row>
    <row r="602">
      <c r="G602" s="6"/>
      <c r="H602" s="6"/>
      <c r="L602" s="6"/>
    </row>
    <row r="603">
      <c r="G603" s="6"/>
      <c r="H603" s="6"/>
      <c r="L603" s="6"/>
    </row>
    <row r="604">
      <c r="G604" s="6"/>
      <c r="H604" s="6"/>
      <c r="L604" s="6"/>
    </row>
    <row r="605">
      <c r="G605" s="6"/>
      <c r="H605" s="6"/>
      <c r="L605" s="6"/>
    </row>
    <row r="606">
      <c r="G606" s="6"/>
      <c r="H606" s="6"/>
      <c r="L606" s="6"/>
    </row>
    <row r="607">
      <c r="G607" s="6"/>
      <c r="H607" s="6"/>
      <c r="L607" s="6"/>
    </row>
    <row r="608">
      <c r="G608" s="6"/>
      <c r="H608" s="6"/>
      <c r="L608" s="6"/>
    </row>
    <row r="609">
      <c r="G609" s="6"/>
      <c r="H609" s="6"/>
      <c r="L609" s="6"/>
    </row>
    <row r="610">
      <c r="G610" s="6"/>
      <c r="H610" s="6"/>
      <c r="L610" s="6"/>
    </row>
    <row r="611">
      <c r="G611" s="6"/>
      <c r="H611" s="6"/>
      <c r="L611" s="6"/>
    </row>
    <row r="612">
      <c r="G612" s="6"/>
      <c r="H612" s="6"/>
      <c r="L612" s="6"/>
    </row>
    <row r="613">
      <c r="G613" s="6"/>
      <c r="H613" s="6"/>
      <c r="L613" s="6"/>
    </row>
    <row r="614">
      <c r="G614" s="6"/>
      <c r="H614" s="6"/>
      <c r="L614" s="6"/>
    </row>
    <row r="615">
      <c r="G615" s="6"/>
      <c r="H615" s="6"/>
      <c r="L615" s="6"/>
    </row>
    <row r="616">
      <c r="G616" s="6"/>
      <c r="H616" s="6"/>
      <c r="L616" s="6"/>
    </row>
    <row r="617">
      <c r="G617" s="6"/>
      <c r="H617" s="6"/>
      <c r="L617" s="6"/>
    </row>
    <row r="618">
      <c r="G618" s="6"/>
      <c r="H618" s="6"/>
      <c r="L618" s="6"/>
    </row>
    <row r="619">
      <c r="G619" s="6"/>
      <c r="H619" s="6"/>
      <c r="L619" s="6"/>
    </row>
    <row r="620">
      <c r="G620" s="6"/>
      <c r="H620" s="6"/>
      <c r="L620" s="6"/>
    </row>
    <row r="621">
      <c r="G621" s="6"/>
      <c r="H621" s="6"/>
      <c r="L621" s="6"/>
    </row>
    <row r="622">
      <c r="G622" s="6"/>
      <c r="H622" s="6"/>
      <c r="L622" s="6"/>
    </row>
    <row r="623">
      <c r="G623" s="6"/>
      <c r="H623" s="6"/>
      <c r="L623" s="6"/>
    </row>
    <row r="624">
      <c r="G624" s="6"/>
      <c r="H624" s="6"/>
      <c r="L624" s="6"/>
    </row>
    <row r="625">
      <c r="G625" s="6"/>
      <c r="H625" s="6"/>
      <c r="L625" s="6"/>
    </row>
    <row r="626">
      <c r="G626" s="6"/>
      <c r="H626" s="6"/>
      <c r="L626" s="6"/>
    </row>
    <row r="627">
      <c r="G627" s="6"/>
      <c r="H627" s="6"/>
      <c r="L627" s="6"/>
    </row>
    <row r="628">
      <c r="G628" s="6"/>
      <c r="H628" s="6"/>
      <c r="L628" s="6"/>
    </row>
    <row r="629">
      <c r="G629" s="6"/>
      <c r="H629" s="6"/>
      <c r="L629" s="6"/>
    </row>
    <row r="630">
      <c r="G630" s="6"/>
      <c r="H630" s="6"/>
      <c r="L630" s="6"/>
    </row>
    <row r="631">
      <c r="G631" s="6"/>
      <c r="H631" s="6"/>
      <c r="L631" s="6"/>
    </row>
    <row r="632">
      <c r="G632" s="6"/>
      <c r="H632" s="6"/>
      <c r="L632" s="6"/>
    </row>
    <row r="633">
      <c r="G633" s="6"/>
      <c r="H633" s="6"/>
      <c r="L633" s="6"/>
    </row>
    <row r="634">
      <c r="G634" s="6"/>
      <c r="H634" s="6"/>
      <c r="L634" s="6"/>
    </row>
    <row r="635">
      <c r="G635" s="6"/>
      <c r="H635" s="6"/>
      <c r="L635" s="6"/>
    </row>
    <row r="636">
      <c r="G636" s="6"/>
      <c r="H636" s="6"/>
      <c r="L636" s="6"/>
    </row>
    <row r="637">
      <c r="G637" s="6"/>
      <c r="H637" s="6"/>
      <c r="L637" s="6"/>
    </row>
    <row r="638">
      <c r="G638" s="6"/>
      <c r="H638" s="6"/>
      <c r="L638" s="6"/>
    </row>
    <row r="639">
      <c r="G639" s="6"/>
      <c r="H639" s="6"/>
      <c r="L639" s="6"/>
    </row>
    <row r="640">
      <c r="G640" s="6"/>
      <c r="H640" s="6"/>
      <c r="L640" s="6"/>
    </row>
    <row r="641">
      <c r="G641" s="6"/>
      <c r="H641" s="6"/>
      <c r="L641" s="6"/>
    </row>
    <row r="642">
      <c r="G642" s="6"/>
      <c r="H642" s="6"/>
      <c r="L642" s="6"/>
    </row>
    <row r="643">
      <c r="G643" s="6"/>
      <c r="H643" s="6"/>
      <c r="L643" s="6"/>
    </row>
    <row r="644">
      <c r="G644" s="6"/>
      <c r="H644" s="6"/>
      <c r="L644" s="6"/>
    </row>
    <row r="645">
      <c r="G645" s="6"/>
      <c r="H645" s="6"/>
      <c r="L645" s="6"/>
    </row>
    <row r="646">
      <c r="G646" s="6"/>
      <c r="H646" s="6"/>
      <c r="L646" s="6"/>
    </row>
    <row r="647">
      <c r="G647" s="6"/>
      <c r="H647" s="6"/>
      <c r="L647" s="6"/>
    </row>
    <row r="648">
      <c r="G648" s="6"/>
      <c r="H648" s="6"/>
      <c r="L648" s="6"/>
    </row>
    <row r="649">
      <c r="G649" s="6"/>
      <c r="H649" s="6"/>
      <c r="L649" s="6"/>
    </row>
    <row r="650">
      <c r="G650" s="6"/>
      <c r="H650" s="6"/>
      <c r="L650" s="6"/>
    </row>
    <row r="651">
      <c r="G651" s="6"/>
      <c r="H651" s="6"/>
      <c r="L651" s="6"/>
    </row>
    <row r="652">
      <c r="G652" s="6"/>
      <c r="H652" s="6"/>
      <c r="L652" s="6"/>
    </row>
    <row r="653">
      <c r="G653" s="6"/>
      <c r="H653" s="6"/>
      <c r="L653" s="6"/>
    </row>
    <row r="654">
      <c r="G654" s="6"/>
      <c r="H654" s="6"/>
      <c r="L654" s="6"/>
    </row>
    <row r="655">
      <c r="G655" s="6"/>
      <c r="H655" s="6"/>
      <c r="L655" s="6"/>
    </row>
    <row r="656">
      <c r="G656" s="6"/>
      <c r="H656" s="6"/>
      <c r="L656" s="6"/>
    </row>
    <row r="657">
      <c r="G657" s="6"/>
      <c r="H657" s="6"/>
      <c r="L657" s="6"/>
    </row>
    <row r="658">
      <c r="G658" s="6"/>
      <c r="H658" s="6"/>
      <c r="L658" s="6"/>
    </row>
    <row r="659">
      <c r="G659" s="6"/>
      <c r="H659" s="6"/>
      <c r="L659" s="6"/>
    </row>
    <row r="660">
      <c r="G660" s="6"/>
      <c r="H660" s="6"/>
      <c r="L660" s="6"/>
    </row>
    <row r="661">
      <c r="G661" s="6"/>
      <c r="H661" s="6"/>
      <c r="L661" s="6"/>
    </row>
    <row r="662">
      <c r="G662" s="6"/>
      <c r="H662" s="6"/>
      <c r="L662" s="6"/>
    </row>
    <row r="663">
      <c r="G663" s="6"/>
      <c r="H663" s="6"/>
      <c r="L663" s="6"/>
    </row>
    <row r="664">
      <c r="G664" s="6"/>
      <c r="H664" s="6"/>
      <c r="L664" s="6"/>
    </row>
    <row r="665">
      <c r="G665" s="6"/>
      <c r="H665" s="6"/>
      <c r="L665" s="6"/>
    </row>
    <row r="666">
      <c r="G666" s="6"/>
      <c r="H666" s="6"/>
      <c r="L666" s="6"/>
    </row>
    <row r="667">
      <c r="G667" s="6"/>
      <c r="H667" s="6"/>
      <c r="L667" s="6"/>
    </row>
    <row r="668">
      <c r="G668" s="6"/>
      <c r="H668" s="6"/>
      <c r="L668" s="6"/>
    </row>
    <row r="669">
      <c r="G669" s="6"/>
      <c r="H669" s="6"/>
      <c r="L669" s="6"/>
    </row>
    <row r="670">
      <c r="G670" s="6"/>
      <c r="H670" s="6"/>
      <c r="L670" s="6"/>
    </row>
    <row r="671">
      <c r="G671" s="6"/>
      <c r="H671" s="6"/>
      <c r="L671" s="6"/>
    </row>
    <row r="672">
      <c r="G672" s="6"/>
      <c r="H672" s="6"/>
      <c r="L672" s="6"/>
    </row>
    <row r="673">
      <c r="G673" s="6"/>
      <c r="H673" s="6"/>
      <c r="L673" s="6"/>
    </row>
    <row r="674">
      <c r="G674" s="6"/>
      <c r="H674" s="6"/>
      <c r="L674" s="6"/>
    </row>
    <row r="675">
      <c r="G675" s="6"/>
      <c r="H675" s="6"/>
      <c r="L675" s="6"/>
    </row>
    <row r="676">
      <c r="G676" s="6"/>
      <c r="H676" s="6"/>
      <c r="L676" s="6"/>
    </row>
    <row r="677">
      <c r="G677" s="6"/>
      <c r="H677" s="6"/>
      <c r="L677" s="6"/>
    </row>
    <row r="678">
      <c r="G678" s="6"/>
      <c r="H678" s="6"/>
      <c r="L678" s="6"/>
    </row>
    <row r="679">
      <c r="G679" s="6"/>
      <c r="H679" s="6"/>
      <c r="L679" s="6"/>
    </row>
    <row r="680">
      <c r="G680" s="6"/>
      <c r="H680" s="6"/>
      <c r="L680" s="6"/>
    </row>
    <row r="681">
      <c r="G681" s="6"/>
      <c r="H681" s="6"/>
      <c r="L681" s="6"/>
    </row>
    <row r="682">
      <c r="G682" s="6"/>
      <c r="H682" s="6"/>
      <c r="L682" s="6"/>
    </row>
    <row r="683">
      <c r="G683" s="6"/>
      <c r="H683" s="6"/>
      <c r="L683" s="6"/>
    </row>
    <row r="684">
      <c r="G684" s="6"/>
      <c r="H684" s="6"/>
      <c r="L684" s="6"/>
    </row>
    <row r="685">
      <c r="G685" s="6"/>
      <c r="H685" s="6"/>
      <c r="L685" s="6"/>
    </row>
    <row r="686">
      <c r="G686" s="6"/>
      <c r="H686" s="6"/>
      <c r="L686" s="6"/>
    </row>
    <row r="687">
      <c r="G687" s="6"/>
      <c r="H687" s="6"/>
      <c r="L687" s="6"/>
    </row>
    <row r="688">
      <c r="G688" s="6"/>
      <c r="H688" s="6"/>
      <c r="L688" s="6"/>
    </row>
    <row r="689">
      <c r="G689" s="6"/>
      <c r="H689" s="6"/>
      <c r="L689" s="6"/>
    </row>
    <row r="690">
      <c r="G690" s="6"/>
      <c r="H690" s="6"/>
      <c r="L690" s="6"/>
    </row>
    <row r="691">
      <c r="G691" s="6"/>
      <c r="H691" s="6"/>
      <c r="L691" s="6"/>
    </row>
    <row r="692">
      <c r="G692" s="6"/>
      <c r="H692" s="6"/>
      <c r="L692" s="6"/>
    </row>
    <row r="693">
      <c r="G693" s="6"/>
      <c r="H693" s="6"/>
      <c r="L693" s="6"/>
    </row>
    <row r="694">
      <c r="G694" s="6"/>
      <c r="H694" s="6"/>
      <c r="L694" s="6"/>
    </row>
    <row r="695">
      <c r="G695" s="6"/>
      <c r="H695" s="6"/>
      <c r="L695" s="6"/>
    </row>
    <row r="696">
      <c r="G696" s="6"/>
      <c r="H696" s="6"/>
      <c r="L696" s="6"/>
    </row>
    <row r="697">
      <c r="G697" s="6"/>
      <c r="H697" s="6"/>
      <c r="L697" s="6"/>
    </row>
    <row r="698">
      <c r="G698" s="6"/>
      <c r="H698" s="6"/>
      <c r="L698" s="6"/>
    </row>
    <row r="699">
      <c r="G699" s="6"/>
      <c r="H699" s="6"/>
      <c r="L699" s="6"/>
    </row>
    <row r="700">
      <c r="G700" s="6"/>
      <c r="H700" s="6"/>
      <c r="L700" s="6"/>
    </row>
    <row r="701">
      <c r="G701" s="6"/>
      <c r="H701" s="6"/>
      <c r="L701" s="6"/>
    </row>
    <row r="702">
      <c r="G702" s="6"/>
      <c r="H702" s="6"/>
      <c r="L702" s="6"/>
    </row>
    <row r="703">
      <c r="G703" s="6"/>
      <c r="H703" s="6"/>
      <c r="L703" s="6"/>
    </row>
    <row r="704">
      <c r="G704" s="6"/>
      <c r="H704" s="6"/>
      <c r="L704" s="6"/>
    </row>
    <row r="705">
      <c r="G705" s="6"/>
      <c r="H705" s="6"/>
      <c r="L705" s="6"/>
    </row>
    <row r="706">
      <c r="G706" s="6"/>
      <c r="H706" s="6"/>
      <c r="L706" s="6"/>
    </row>
    <row r="707">
      <c r="G707" s="6"/>
      <c r="H707" s="6"/>
      <c r="L707" s="6"/>
    </row>
    <row r="708">
      <c r="G708" s="6"/>
      <c r="H708" s="6"/>
      <c r="L708" s="6"/>
    </row>
    <row r="709">
      <c r="G709" s="6"/>
      <c r="H709" s="6"/>
      <c r="L709" s="6"/>
    </row>
    <row r="710">
      <c r="G710" s="6"/>
      <c r="H710" s="6"/>
      <c r="L710" s="6"/>
    </row>
    <row r="711">
      <c r="G711" s="6"/>
      <c r="H711" s="6"/>
      <c r="L711" s="6"/>
    </row>
    <row r="712">
      <c r="G712" s="6"/>
      <c r="H712" s="6"/>
      <c r="L712" s="6"/>
    </row>
    <row r="713">
      <c r="G713" s="6"/>
      <c r="H713" s="6"/>
      <c r="L713" s="6"/>
    </row>
    <row r="714">
      <c r="G714" s="6"/>
      <c r="H714" s="6"/>
      <c r="L714" s="6"/>
    </row>
    <row r="715">
      <c r="G715" s="6"/>
      <c r="H715" s="6"/>
      <c r="L715" s="6"/>
    </row>
    <row r="716">
      <c r="G716" s="6"/>
      <c r="H716" s="6"/>
      <c r="L716" s="6"/>
    </row>
    <row r="717">
      <c r="G717" s="6"/>
      <c r="H717" s="6"/>
      <c r="L717" s="6"/>
    </row>
    <row r="718">
      <c r="G718" s="6"/>
      <c r="H718" s="6"/>
      <c r="L718" s="6"/>
    </row>
    <row r="719">
      <c r="G719" s="6"/>
      <c r="H719" s="6"/>
      <c r="L719" s="6"/>
    </row>
    <row r="720">
      <c r="G720" s="6"/>
      <c r="H720" s="6"/>
      <c r="L720" s="6"/>
    </row>
    <row r="721">
      <c r="G721" s="6"/>
      <c r="H721" s="6"/>
      <c r="L721" s="6"/>
    </row>
    <row r="722">
      <c r="G722" s="6"/>
      <c r="H722" s="6"/>
      <c r="L722" s="6"/>
    </row>
    <row r="723">
      <c r="G723" s="6"/>
      <c r="H723" s="6"/>
      <c r="L723" s="6"/>
    </row>
    <row r="724">
      <c r="G724" s="6"/>
      <c r="H724" s="6"/>
      <c r="L724" s="6"/>
    </row>
    <row r="725">
      <c r="G725" s="6"/>
      <c r="H725" s="6"/>
      <c r="L725" s="6"/>
    </row>
    <row r="726">
      <c r="G726" s="6"/>
      <c r="H726" s="6"/>
      <c r="L726" s="6"/>
    </row>
    <row r="727">
      <c r="G727" s="6"/>
      <c r="H727" s="6"/>
      <c r="L727" s="6"/>
    </row>
    <row r="728">
      <c r="G728" s="6"/>
      <c r="H728" s="6"/>
      <c r="L728" s="6"/>
    </row>
    <row r="729">
      <c r="G729" s="6"/>
      <c r="H729" s="6"/>
      <c r="L729" s="6"/>
    </row>
    <row r="730">
      <c r="G730" s="6"/>
      <c r="H730" s="6"/>
      <c r="L730" s="6"/>
    </row>
    <row r="731">
      <c r="G731" s="6"/>
      <c r="H731" s="6"/>
      <c r="L731" s="6"/>
    </row>
    <row r="732">
      <c r="G732" s="6"/>
      <c r="H732" s="6"/>
      <c r="L732" s="6"/>
    </row>
    <row r="733">
      <c r="G733" s="6"/>
      <c r="H733" s="6"/>
      <c r="L733" s="6"/>
    </row>
    <row r="734">
      <c r="G734" s="6"/>
      <c r="H734" s="6"/>
      <c r="L734" s="6"/>
    </row>
    <row r="735">
      <c r="G735" s="6"/>
      <c r="H735" s="6"/>
      <c r="L735" s="6"/>
    </row>
    <row r="736">
      <c r="G736" s="6"/>
      <c r="H736" s="6"/>
      <c r="L736" s="6"/>
    </row>
    <row r="737">
      <c r="G737" s="6"/>
      <c r="H737" s="6"/>
      <c r="L737" s="6"/>
    </row>
    <row r="738">
      <c r="G738" s="6"/>
      <c r="H738" s="6"/>
      <c r="L738" s="6"/>
    </row>
    <row r="739">
      <c r="G739" s="6"/>
      <c r="H739" s="6"/>
      <c r="L739" s="6"/>
    </row>
    <row r="740">
      <c r="G740" s="6"/>
      <c r="H740" s="6"/>
      <c r="L740" s="6"/>
    </row>
    <row r="741">
      <c r="G741" s="6"/>
      <c r="H741" s="6"/>
      <c r="L741" s="6"/>
    </row>
    <row r="742">
      <c r="G742" s="6"/>
      <c r="H742" s="6"/>
      <c r="L742" s="6"/>
    </row>
    <row r="743">
      <c r="G743" s="6"/>
      <c r="H743" s="6"/>
      <c r="L743" s="6"/>
    </row>
    <row r="744">
      <c r="G744" s="6"/>
      <c r="H744" s="6"/>
      <c r="L744" s="6"/>
    </row>
    <row r="745">
      <c r="G745" s="6"/>
      <c r="H745" s="6"/>
      <c r="L745" s="6"/>
    </row>
    <row r="746">
      <c r="G746" s="6"/>
      <c r="H746" s="6"/>
      <c r="L746" s="6"/>
    </row>
    <row r="747">
      <c r="G747" s="6"/>
      <c r="H747" s="6"/>
      <c r="L747" s="6"/>
    </row>
    <row r="748">
      <c r="G748" s="6"/>
      <c r="H748" s="6"/>
      <c r="L748" s="6"/>
    </row>
    <row r="749">
      <c r="G749" s="6"/>
      <c r="H749" s="6"/>
      <c r="L749" s="6"/>
    </row>
    <row r="750">
      <c r="G750" s="6"/>
      <c r="H750" s="6"/>
      <c r="L750" s="6"/>
    </row>
    <row r="751">
      <c r="G751" s="6"/>
      <c r="H751" s="6"/>
      <c r="L751" s="6"/>
    </row>
    <row r="752">
      <c r="G752" s="6"/>
      <c r="H752" s="6"/>
      <c r="L752" s="6"/>
    </row>
    <row r="753">
      <c r="G753" s="6"/>
      <c r="H753" s="6"/>
      <c r="L753" s="6"/>
    </row>
    <row r="754">
      <c r="G754" s="6"/>
      <c r="H754" s="6"/>
      <c r="L754" s="6"/>
    </row>
    <row r="755">
      <c r="G755" s="6"/>
      <c r="H755" s="6"/>
      <c r="L755" s="6"/>
    </row>
    <row r="756">
      <c r="G756" s="6"/>
      <c r="H756" s="6"/>
      <c r="L756" s="6"/>
    </row>
    <row r="757">
      <c r="G757" s="6"/>
      <c r="H757" s="6"/>
      <c r="L757" s="6"/>
    </row>
    <row r="758">
      <c r="G758" s="6"/>
      <c r="H758" s="6"/>
      <c r="L758" s="6"/>
    </row>
    <row r="759">
      <c r="G759" s="6"/>
      <c r="H759" s="6"/>
      <c r="L759" s="6"/>
    </row>
    <row r="760">
      <c r="G760" s="6"/>
      <c r="H760" s="6"/>
      <c r="L760" s="6"/>
    </row>
    <row r="761">
      <c r="G761" s="6"/>
      <c r="H761" s="6"/>
      <c r="L761" s="6"/>
    </row>
    <row r="762">
      <c r="G762" s="6"/>
      <c r="H762" s="6"/>
      <c r="L762" s="6"/>
    </row>
    <row r="763">
      <c r="G763" s="6"/>
      <c r="H763" s="6"/>
      <c r="L763" s="6"/>
    </row>
    <row r="764">
      <c r="G764" s="6"/>
      <c r="H764" s="6"/>
      <c r="L764" s="6"/>
    </row>
    <row r="765">
      <c r="G765" s="6"/>
      <c r="H765" s="6"/>
      <c r="L765" s="6"/>
    </row>
    <row r="766">
      <c r="G766" s="6"/>
      <c r="H766" s="6"/>
      <c r="L766" s="6"/>
    </row>
    <row r="767">
      <c r="G767" s="6"/>
      <c r="H767" s="6"/>
      <c r="L767" s="6"/>
    </row>
    <row r="768">
      <c r="G768" s="6"/>
      <c r="H768" s="6"/>
      <c r="L768" s="6"/>
    </row>
    <row r="769">
      <c r="G769" s="6"/>
      <c r="H769" s="6"/>
      <c r="L769" s="6"/>
    </row>
    <row r="770">
      <c r="G770" s="6"/>
      <c r="H770" s="6"/>
      <c r="L770" s="6"/>
    </row>
    <row r="771">
      <c r="G771" s="6"/>
      <c r="H771" s="6"/>
      <c r="L771" s="6"/>
    </row>
    <row r="772">
      <c r="G772" s="6"/>
      <c r="H772" s="6"/>
      <c r="L772" s="6"/>
    </row>
    <row r="773">
      <c r="G773" s="6"/>
      <c r="H773" s="6"/>
      <c r="L773" s="6"/>
    </row>
    <row r="774">
      <c r="G774" s="6"/>
      <c r="H774" s="6"/>
      <c r="L774" s="6"/>
    </row>
    <row r="775">
      <c r="G775" s="6"/>
      <c r="H775" s="6"/>
      <c r="L775" s="6"/>
    </row>
    <row r="776">
      <c r="G776" s="6"/>
      <c r="H776" s="6"/>
      <c r="L776" s="6"/>
    </row>
    <row r="777">
      <c r="G777" s="6"/>
      <c r="H777" s="6"/>
      <c r="L777" s="6"/>
    </row>
    <row r="778">
      <c r="G778" s="6"/>
      <c r="H778" s="6"/>
      <c r="L778" s="6"/>
    </row>
    <row r="779">
      <c r="G779" s="6"/>
      <c r="H779" s="6"/>
      <c r="L779" s="6"/>
    </row>
    <row r="780">
      <c r="G780" s="6"/>
      <c r="H780" s="6"/>
      <c r="L780" s="6"/>
    </row>
    <row r="781">
      <c r="G781" s="6"/>
      <c r="H781" s="6"/>
      <c r="L781" s="6"/>
    </row>
    <row r="782">
      <c r="G782" s="6"/>
      <c r="H782" s="6"/>
      <c r="L782" s="6"/>
    </row>
    <row r="783">
      <c r="G783" s="6"/>
      <c r="H783" s="6"/>
      <c r="L783" s="6"/>
    </row>
    <row r="784">
      <c r="G784" s="6"/>
      <c r="H784" s="6"/>
      <c r="L784" s="6"/>
    </row>
    <row r="785">
      <c r="G785" s="6"/>
      <c r="H785" s="6"/>
      <c r="L785" s="6"/>
    </row>
    <row r="786">
      <c r="G786" s="6"/>
      <c r="H786" s="6"/>
      <c r="L786" s="6"/>
    </row>
    <row r="787">
      <c r="G787" s="6"/>
      <c r="H787" s="6"/>
      <c r="L787" s="6"/>
    </row>
    <row r="788">
      <c r="G788" s="6"/>
      <c r="H788" s="6"/>
      <c r="L788" s="6"/>
    </row>
    <row r="789">
      <c r="G789" s="6"/>
      <c r="H789" s="6"/>
      <c r="L789" s="6"/>
    </row>
    <row r="790">
      <c r="G790" s="6"/>
      <c r="H790" s="6"/>
      <c r="L790" s="6"/>
    </row>
    <row r="791">
      <c r="G791" s="6"/>
      <c r="H791" s="6"/>
      <c r="L791" s="6"/>
    </row>
    <row r="792">
      <c r="G792" s="6"/>
      <c r="H792" s="6"/>
      <c r="L792" s="6"/>
    </row>
    <row r="793">
      <c r="G793" s="6"/>
      <c r="H793" s="6"/>
      <c r="L793" s="6"/>
    </row>
    <row r="794">
      <c r="G794" s="6"/>
      <c r="H794" s="6"/>
      <c r="L794" s="6"/>
    </row>
    <row r="795">
      <c r="G795" s="6"/>
      <c r="H795" s="6"/>
      <c r="L795" s="6"/>
    </row>
    <row r="796">
      <c r="G796" s="6"/>
      <c r="H796" s="6"/>
      <c r="L796" s="6"/>
    </row>
    <row r="797">
      <c r="G797" s="6"/>
      <c r="H797" s="6"/>
      <c r="L797" s="6"/>
    </row>
    <row r="798">
      <c r="G798" s="6"/>
      <c r="H798" s="6"/>
      <c r="L798" s="6"/>
    </row>
    <row r="799">
      <c r="G799" s="6"/>
      <c r="H799" s="6"/>
      <c r="L799" s="6"/>
    </row>
    <row r="800">
      <c r="G800" s="6"/>
      <c r="H800" s="6"/>
      <c r="L800" s="6"/>
    </row>
    <row r="801">
      <c r="G801" s="6"/>
      <c r="H801" s="6"/>
      <c r="L801" s="6"/>
    </row>
    <row r="802">
      <c r="G802" s="6"/>
      <c r="H802" s="6"/>
      <c r="L802" s="6"/>
    </row>
    <row r="803">
      <c r="G803" s="6"/>
      <c r="H803" s="6"/>
      <c r="L803" s="6"/>
    </row>
    <row r="804">
      <c r="G804" s="6"/>
      <c r="H804" s="6"/>
      <c r="L804" s="6"/>
    </row>
    <row r="805">
      <c r="G805" s="6"/>
      <c r="H805" s="6"/>
      <c r="L805" s="6"/>
    </row>
    <row r="806">
      <c r="G806" s="6"/>
      <c r="H806" s="6"/>
      <c r="L806" s="6"/>
    </row>
    <row r="807">
      <c r="G807" s="6"/>
      <c r="H807" s="6"/>
      <c r="L807" s="6"/>
    </row>
    <row r="808">
      <c r="G808" s="6"/>
      <c r="H808" s="6"/>
      <c r="L808" s="6"/>
    </row>
    <row r="809">
      <c r="G809" s="6"/>
      <c r="H809" s="6"/>
      <c r="L809" s="6"/>
    </row>
    <row r="810">
      <c r="G810" s="6"/>
      <c r="H810" s="6"/>
      <c r="L810" s="6"/>
    </row>
    <row r="811">
      <c r="G811" s="6"/>
      <c r="H811" s="6"/>
      <c r="L811" s="6"/>
    </row>
    <row r="812">
      <c r="G812" s="6"/>
      <c r="H812" s="6"/>
      <c r="L812" s="6"/>
    </row>
    <row r="813">
      <c r="G813" s="6"/>
      <c r="H813" s="6"/>
      <c r="L813" s="6"/>
    </row>
    <row r="814">
      <c r="G814" s="6"/>
      <c r="H814" s="6"/>
      <c r="L814" s="6"/>
    </row>
    <row r="815">
      <c r="G815" s="6"/>
      <c r="H815" s="6"/>
      <c r="L815" s="6"/>
    </row>
    <row r="816">
      <c r="G816" s="6"/>
      <c r="H816" s="6"/>
      <c r="L816" s="6"/>
    </row>
    <row r="817">
      <c r="G817" s="6"/>
      <c r="H817" s="6"/>
      <c r="L817" s="6"/>
    </row>
    <row r="818">
      <c r="G818" s="6"/>
      <c r="H818" s="6"/>
      <c r="L818" s="6"/>
    </row>
    <row r="819">
      <c r="G819" s="6"/>
      <c r="H819" s="6"/>
      <c r="L819" s="6"/>
    </row>
    <row r="820">
      <c r="G820" s="6"/>
      <c r="H820" s="6"/>
      <c r="L820" s="6"/>
    </row>
    <row r="821">
      <c r="G821" s="6"/>
      <c r="H821" s="6"/>
      <c r="L821" s="6"/>
    </row>
    <row r="822">
      <c r="G822" s="6"/>
      <c r="H822" s="6"/>
      <c r="L822" s="6"/>
    </row>
    <row r="823">
      <c r="G823" s="6"/>
      <c r="H823" s="6"/>
      <c r="L823" s="6"/>
    </row>
    <row r="824">
      <c r="G824" s="6"/>
      <c r="H824" s="6"/>
      <c r="L824" s="6"/>
    </row>
    <row r="825">
      <c r="G825" s="6"/>
      <c r="H825" s="6"/>
      <c r="L825" s="6"/>
    </row>
    <row r="826">
      <c r="G826" s="6"/>
      <c r="H826" s="6"/>
      <c r="L826" s="6"/>
    </row>
    <row r="827">
      <c r="G827" s="6"/>
      <c r="H827" s="6"/>
      <c r="L827" s="6"/>
    </row>
    <row r="828">
      <c r="G828" s="6"/>
      <c r="H828" s="6"/>
      <c r="L828" s="6"/>
    </row>
    <row r="829">
      <c r="G829" s="6"/>
      <c r="H829" s="6"/>
      <c r="L829" s="6"/>
    </row>
    <row r="830">
      <c r="G830" s="6"/>
      <c r="H830" s="6"/>
      <c r="L830" s="6"/>
    </row>
    <row r="831">
      <c r="G831" s="6"/>
      <c r="H831" s="6"/>
      <c r="L831" s="6"/>
    </row>
    <row r="832">
      <c r="G832" s="6"/>
      <c r="H832" s="6"/>
      <c r="L832" s="6"/>
    </row>
    <row r="833">
      <c r="G833" s="6"/>
      <c r="H833" s="6"/>
      <c r="L833" s="6"/>
    </row>
    <row r="834">
      <c r="G834" s="6"/>
      <c r="H834" s="6"/>
      <c r="L834" s="6"/>
    </row>
    <row r="835">
      <c r="G835" s="6"/>
      <c r="H835" s="6"/>
      <c r="L835" s="6"/>
    </row>
    <row r="836">
      <c r="G836" s="6"/>
      <c r="H836" s="6"/>
      <c r="L836" s="6"/>
    </row>
    <row r="837">
      <c r="G837" s="6"/>
      <c r="H837" s="6"/>
      <c r="L837" s="6"/>
    </row>
    <row r="838">
      <c r="G838" s="6"/>
      <c r="H838" s="6"/>
      <c r="L838" s="6"/>
    </row>
    <row r="839">
      <c r="G839" s="6"/>
      <c r="H839" s="6"/>
      <c r="L839" s="6"/>
    </row>
    <row r="840">
      <c r="G840" s="6"/>
      <c r="H840" s="6"/>
      <c r="L840" s="6"/>
    </row>
    <row r="841">
      <c r="G841" s="6"/>
      <c r="H841" s="6"/>
      <c r="L841" s="6"/>
    </row>
    <row r="842">
      <c r="G842" s="6"/>
      <c r="H842" s="6"/>
      <c r="L842" s="6"/>
    </row>
    <row r="843">
      <c r="G843" s="6"/>
      <c r="H843" s="6"/>
      <c r="L843" s="6"/>
    </row>
    <row r="844">
      <c r="G844" s="6"/>
      <c r="H844" s="6"/>
      <c r="L844" s="6"/>
    </row>
    <row r="845">
      <c r="G845" s="6"/>
      <c r="H845" s="6"/>
      <c r="L845" s="6"/>
    </row>
    <row r="846">
      <c r="G846" s="6"/>
      <c r="H846" s="6"/>
      <c r="L846" s="6"/>
    </row>
    <row r="847">
      <c r="G847" s="6"/>
      <c r="H847" s="6"/>
      <c r="L847" s="6"/>
    </row>
    <row r="848">
      <c r="G848" s="6"/>
      <c r="H848" s="6"/>
      <c r="L848" s="6"/>
    </row>
    <row r="849">
      <c r="G849" s="6"/>
      <c r="H849" s="6"/>
      <c r="L849" s="6"/>
    </row>
    <row r="850">
      <c r="G850" s="6"/>
      <c r="H850" s="6"/>
      <c r="L850" s="6"/>
    </row>
    <row r="851">
      <c r="G851" s="6"/>
      <c r="H851" s="6"/>
      <c r="L851" s="6"/>
    </row>
    <row r="852">
      <c r="G852" s="6"/>
      <c r="H852" s="6"/>
      <c r="L852" s="6"/>
    </row>
    <row r="853">
      <c r="G853" s="6"/>
      <c r="H853" s="6"/>
      <c r="L853" s="6"/>
    </row>
    <row r="854">
      <c r="G854" s="6"/>
      <c r="H854" s="6"/>
      <c r="L854" s="6"/>
    </row>
    <row r="855">
      <c r="G855" s="6"/>
      <c r="H855" s="6"/>
      <c r="L855" s="6"/>
    </row>
    <row r="856">
      <c r="G856" s="6"/>
      <c r="H856" s="6"/>
      <c r="L856" s="6"/>
    </row>
    <row r="857">
      <c r="G857" s="6"/>
      <c r="H857" s="6"/>
      <c r="L857" s="6"/>
    </row>
    <row r="858">
      <c r="G858" s="6"/>
      <c r="H858" s="6"/>
      <c r="L858" s="6"/>
    </row>
    <row r="859">
      <c r="G859" s="6"/>
      <c r="H859" s="6"/>
      <c r="L859" s="6"/>
    </row>
    <row r="860">
      <c r="G860" s="6"/>
      <c r="H860" s="6"/>
      <c r="L860" s="6"/>
    </row>
    <row r="861">
      <c r="G861" s="6"/>
      <c r="H861" s="6"/>
      <c r="L861" s="6"/>
    </row>
    <row r="862">
      <c r="G862" s="6"/>
      <c r="H862" s="6"/>
      <c r="L862" s="6"/>
    </row>
    <row r="863">
      <c r="G863" s="6"/>
      <c r="H863" s="6"/>
      <c r="L863" s="6"/>
    </row>
    <row r="864">
      <c r="G864" s="6"/>
      <c r="H864" s="6"/>
      <c r="L864" s="6"/>
    </row>
    <row r="865">
      <c r="G865" s="6"/>
      <c r="H865" s="6"/>
      <c r="L865" s="6"/>
    </row>
    <row r="866">
      <c r="G866" s="6"/>
      <c r="H866" s="6"/>
      <c r="L866" s="6"/>
    </row>
    <row r="867">
      <c r="G867" s="6"/>
      <c r="H867" s="6"/>
      <c r="L867" s="6"/>
    </row>
    <row r="868">
      <c r="G868" s="6"/>
      <c r="H868" s="6"/>
      <c r="L868" s="6"/>
    </row>
    <row r="869">
      <c r="G869" s="6"/>
      <c r="H869" s="6"/>
      <c r="L869" s="6"/>
    </row>
    <row r="870">
      <c r="G870" s="6"/>
      <c r="H870" s="6"/>
      <c r="L870" s="6"/>
    </row>
    <row r="871">
      <c r="G871" s="6"/>
      <c r="H871" s="6"/>
      <c r="L871" s="6"/>
    </row>
    <row r="872">
      <c r="G872" s="6"/>
      <c r="H872" s="6"/>
      <c r="L872" s="6"/>
    </row>
    <row r="873">
      <c r="G873" s="6"/>
      <c r="H873" s="6"/>
      <c r="L873" s="6"/>
    </row>
    <row r="874">
      <c r="G874" s="6"/>
      <c r="H874" s="6"/>
      <c r="L874" s="6"/>
    </row>
    <row r="875">
      <c r="G875" s="6"/>
      <c r="H875" s="6"/>
      <c r="L875" s="6"/>
    </row>
    <row r="876">
      <c r="G876" s="6"/>
      <c r="H876" s="6"/>
      <c r="L876" s="6"/>
    </row>
    <row r="877">
      <c r="G877" s="6"/>
      <c r="H877" s="6"/>
      <c r="L877" s="6"/>
    </row>
    <row r="878">
      <c r="G878" s="6"/>
      <c r="H878" s="6"/>
      <c r="L878" s="6"/>
    </row>
    <row r="879">
      <c r="G879" s="6"/>
      <c r="H879" s="6"/>
      <c r="L879" s="6"/>
    </row>
    <row r="880">
      <c r="G880" s="6"/>
      <c r="H880" s="6"/>
      <c r="L880" s="6"/>
    </row>
    <row r="881">
      <c r="G881" s="6"/>
      <c r="H881" s="6"/>
      <c r="L881" s="6"/>
    </row>
    <row r="882">
      <c r="G882" s="6"/>
      <c r="H882" s="6"/>
      <c r="L882" s="6"/>
    </row>
    <row r="883">
      <c r="G883" s="6"/>
      <c r="H883" s="6"/>
      <c r="L883" s="6"/>
    </row>
    <row r="884">
      <c r="G884" s="6"/>
      <c r="H884" s="6"/>
      <c r="L884" s="6"/>
    </row>
    <row r="885">
      <c r="G885" s="6"/>
      <c r="H885" s="6"/>
      <c r="L885" s="6"/>
    </row>
    <row r="886">
      <c r="G886" s="6"/>
      <c r="H886" s="6"/>
      <c r="L886" s="6"/>
    </row>
    <row r="887">
      <c r="G887" s="6"/>
      <c r="H887" s="6"/>
      <c r="L887" s="6"/>
    </row>
    <row r="888">
      <c r="G888" s="6"/>
      <c r="H888" s="6"/>
      <c r="L888" s="6"/>
    </row>
    <row r="889">
      <c r="G889" s="6"/>
      <c r="H889" s="6"/>
      <c r="L889" s="6"/>
    </row>
    <row r="890">
      <c r="G890" s="6"/>
      <c r="H890" s="6"/>
      <c r="L890" s="6"/>
    </row>
    <row r="891">
      <c r="G891" s="6"/>
      <c r="H891" s="6"/>
      <c r="L891" s="6"/>
    </row>
    <row r="892">
      <c r="G892" s="6"/>
      <c r="H892" s="6"/>
      <c r="L892" s="6"/>
    </row>
    <row r="893">
      <c r="G893" s="6"/>
      <c r="H893" s="6"/>
      <c r="L893" s="6"/>
    </row>
    <row r="894">
      <c r="G894" s="6"/>
      <c r="H894" s="6"/>
      <c r="L894" s="6"/>
    </row>
    <row r="895">
      <c r="G895" s="6"/>
      <c r="H895" s="6"/>
      <c r="L895" s="6"/>
    </row>
    <row r="896">
      <c r="G896" s="6"/>
      <c r="H896" s="6"/>
      <c r="L896" s="6"/>
    </row>
    <row r="897">
      <c r="G897" s="6"/>
      <c r="H897" s="6"/>
      <c r="L897" s="6"/>
    </row>
    <row r="898">
      <c r="G898" s="6"/>
      <c r="H898" s="6"/>
      <c r="L898" s="6"/>
    </row>
    <row r="899">
      <c r="G899" s="6"/>
      <c r="H899" s="6"/>
      <c r="L899" s="6"/>
    </row>
    <row r="900">
      <c r="G900" s="6"/>
      <c r="H900" s="6"/>
      <c r="L900" s="6"/>
    </row>
    <row r="901">
      <c r="G901" s="6"/>
      <c r="H901" s="6"/>
      <c r="L901" s="6"/>
    </row>
    <row r="902">
      <c r="G902" s="6"/>
      <c r="H902" s="6"/>
      <c r="L902" s="6"/>
    </row>
    <row r="903">
      <c r="G903" s="6"/>
      <c r="H903" s="6"/>
      <c r="L903" s="6"/>
    </row>
    <row r="904">
      <c r="G904" s="6"/>
      <c r="H904" s="6"/>
      <c r="L904" s="6"/>
    </row>
    <row r="905">
      <c r="G905" s="6"/>
      <c r="H905" s="6"/>
      <c r="L905" s="6"/>
    </row>
    <row r="906">
      <c r="G906" s="6"/>
      <c r="H906" s="6"/>
      <c r="L906" s="6"/>
    </row>
    <row r="907">
      <c r="G907" s="6"/>
      <c r="H907" s="6"/>
      <c r="L907" s="6"/>
    </row>
    <row r="908">
      <c r="G908" s="6"/>
      <c r="H908" s="6"/>
      <c r="L908" s="6"/>
    </row>
    <row r="909">
      <c r="G909" s="6"/>
      <c r="H909" s="6"/>
      <c r="L909" s="6"/>
    </row>
    <row r="910">
      <c r="G910" s="6"/>
      <c r="H910" s="6"/>
      <c r="L910" s="6"/>
    </row>
    <row r="911">
      <c r="G911" s="6"/>
      <c r="H911" s="6"/>
      <c r="L911" s="6"/>
    </row>
    <row r="912">
      <c r="G912" s="6"/>
      <c r="H912" s="6"/>
      <c r="L912" s="6"/>
    </row>
    <row r="913">
      <c r="G913" s="6"/>
      <c r="H913" s="6"/>
      <c r="L913" s="6"/>
    </row>
    <row r="914">
      <c r="G914" s="6"/>
      <c r="H914" s="6"/>
      <c r="L914" s="6"/>
    </row>
    <row r="915">
      <c r="G915" s="6"/>
      <c r="H915" s="6"/>
      <c r="L915" s="6"/>
    </row>
    <row r="916">
      <c r="G916" s="6"/>
      <c r="H916" s="6"/>
      <c r="L916" s="6"/>
    </row>
    <row r="917">
      <c r="G917" s="6"/>
      <c r="H917" s="6"/>
      <c r="L917" s="6"/>
    </row>
    <row r="918">
      <c r="G918" s="6"/>
      <c r="H918" s="6"/>
      <c r="L918" s="6"/>
    </row>
    <row r="919">
      <c r="G919" s="6"/>
      <c r="H919" s="6"/>
      <c r="L919" s="6"/>
    </row>
    <row r="920">
      <c r="G920" s="6"/>
      <c r="H920" s="6"/>
      <c r="L920" s="6"/>
    </row>
    <row r="921">
      <c r="G921" s="6"/>
      <c r="H921" s="6"/>
      <c r="L921" s="6"/>
    </row>
    <row r="922">
      <c r="G922" s="6"/>
      <c r="H922" s="6"/>
      <c r="L922" s="6"/>
    </row>
    <row r="923">
      <c r="G923" s="6"/>
      <c r="H923" s="6"/>
      <c r="L923" s="6"/>
    </row>
    <row r="924">
      <c r="G924" s="6"/>
      <c r="H924" s="6"/>
      <c r="L924" s="6"/>
    </row>
    <row r="925">
      <c r="G925" s="6"/>
      <c r="H925" s="6"/>
      <c r="L925" s="6"/>
    </row>
    <row r="926">
      <c r="G926" s="6"/>
      <c r="H926" s="6"/>
      <c r="L926" s="6"/>
    </row>
    <row r="927">
      <c r="G927" s="6"/>
      <c r="H927" s="6"/>
      <c r="L927" s="6"/>
    </row>
    <row r="928">
      <c r="G928" s="6"/>
      <c r="H928" s="6"/>
      <c r="L928" s="6"/>
    </row>
    <row r="929">
      <c r="G929" s="6"/>
      <c r="H929" s="6"/>
      <c r="L929" s="6"/>
    </row>
    <row r="930">
      <c r="G930" s="6"/>
      <c r="H930" s="6"/>
      <c r="L930" s="6"/>
    </row>
    <row r="931">
      <c r="G931" s="6"/>
      <c r="H931" s="6"/>
      <c r="L931" s="6"/>
    </row>
    <row r="932">
      <c r="G932" s="6"/>
      <c r="H932" s="6"/>
      <c r="L932" s="6"/>
    </row>
    <row r="933">
      <c r="G933" s="6"/>
      <c r="H933" s="6"/>
      <c r="L933" s="6"/>
    </row>
    <row r="934">
      <c r="G934" s="6"/>
      <c r="H934" s="6"/>
      <c r="L934" s="6"/>
    </row>
    <row r="935">
      <c r="G935" s="6"/>
      <c r="H935" s="6"/>
      <c r="L935" s="6"/>
    </row>
    <row r="936">
      <c r="G936" s="6"/>
      <c r="H936" s="6"/>
      <c r="L936" s="6"/>
    </row>
    <row r="937">
      <c r="G937" s="6"/>
      <c r="H937" s="6"/>
      <c r="L937" s="6"/>
    </row>
    <row r="938">
      <c r="G938" s="6"/>
      <c r="H938" s="6"/>
      <c r="L938" s="6"/>
    </row>
    <row r="939">
      <c r="G939" s="6"/>
      <c r="H939" s="6"/>
      <c r="L939" s="6"/>
    </row>
    <row r="940">
      <c r="G940" s="6"/>
      <c r="H940" s="6"/>
      <c r="L940" s="6"/>
    </row>
    <row r="941">
      <c r="G941" s="6"/>
      <c r="H941" s="6"/>
      <c r="L941" s="6"/>
    </row>
    <row r="942">
      <c r="G942" s="6"/>
      <c r="H942" s="6"/>
      <c r="L942" s="6"/>
    </row>
    <row r="943">
      <c r="G943" s="6"/>
      <c r="H943" s="6"/>
      <c r="L943" s="6"/>
    </row>
    <row r="944">
      <c r="G944" s="6"/>
      <c r="H944" s="6"/>
      <c r="L944" s="6"/>
    </row>
    <row r="945">
      <c r="G945" s="6"/>
      <c r="H945" s="6"/>
      <c r="L945" s="6"/>
    </row>
    <row r="946">
      <c r="G946" s="6"/>
      <c r="H946" s="6"/>
      <c r="L946" s="6"/>
    </row>
    <row r="947">
      <c r="G947" s="6"/>
      <c r="H947" s="6"/>
      <c r="L947" s="6"/>
    </row>
    <row r="948">
      <c r="G948" s="6"/>
      <c r="H948" s="6"/>
      <c r="L948" s="6"/>
    </row>
    <row r="949">
      <c r="G949" s="6"/>
      <c r="H949" s="6"/>
      <c r="L949" s="6"/>
    </row>
    <row r="950">
      <c r="G950" s="6"/>
      <c r="H950" s="6"/>
      <c r="L950" s="6"/>
    </row>
    <row r="951">
      <c r="G951" s="6"/>
      <c r="H951" s="6"/>
      <c r="L951" s="6"/>
    </row>
    <row r="952">
      <c r="G952" s="6"/>
      <c r="H952" s="6"/>
      <c r="L952" s="6"/>
    </row>
    <row r="953">
      <c r="G953" s="6"/>
      <c r="H953" s="6"/>
      <c r="L953" s="6"/>
    </row>
    <row r="954">
      <c r="G954" s="6"/>
      <c r="H954" s="6"/>
      <c r="L954" s="6"/>
    </row>
    <row r="955">
      <c r="G955" s="6"/>
      <c r="H955" s="6"/>
      <c r="L955" s="6"/>
    </row>
    <row r="956">
      <c r="G956" s="6"/>
      <c r="H956" s="6"/>
      <c r="L956" s="6"/>
    </row>
    <row r="957">
      <c r="G957" s="6"/>
      <c r="H957" s="6"/>
      <c r="L957" s="6"/>
    </row>
    <row r="958">
      <c r="G958" s="6"/>
      <c r="H958" s="6"/>
      <c r="L958" s="6"/>
    </row>
    <row r="959">
      <c r="G959" s="6"/>
      <c r="H959" s="6"/>
      <c r="L959" s="6"/>
    </row>
    <row r="960">
      <c r="G960" s="6"/>
      <c r="H960" s="6"/>
      <c r="L960" s="6"/>
    </row>
    <row r="961">
      <c r="G961" s="6"/>
      <c r="H961" s="6"/>
      <c r="L961" s="6"/>
    </row>
    <row r="962">
      <c r="G962" s="6"/>
      <c r="H962" s="6"/>
      <c r="L962" s="6"/>
    </row>
    <row r="963">
      <c r="G963" s="6"/>
      <c r="H963" s="6"/>
      <c r="L963" s="6"/>
    </row>
    <row r="964">
      <c r="G964" s="6"/>
      <c r="H964" s="6"/>
      <c r="L964" s="6"/>
    </row>
    <row r="965">
      <c r="G965" s="6"/>
      <c r="H965" s="6"/>
      <c r="L965" s="6"/>
    </row>
    <row r="966">
      <c r="G966" s="6"/>
      <c r="H966" s="6"/>
      <c r="L966" s="6"/>
    </row>
    <row r="967">
      <c r="G967" s="6"/>
      <c r="H967" s="6"/>
      <c r="L967" s="6"/>
    </row>
    <row r="968">
      <c r="G968" s="6"/>
      <c r="H968" s="6"/>
      <c r="L968" s="6"/>
    </row>
    <row r="969">
      <c r="G969" s="6"/>
      <c r="H969" s="6"/>
      <c r="L969" s="6"/>
    </row>
    <row r="970">
      <c r="G970" s="6"/>
      <c r="H970" s="6"/>
      <c r="L970" s="6"/>
    </row>
    <row r="971">
      <c r="G971" s="6"/>
      <c r="H971" s="6"/>
      <c r="L971" s="6"/>
    </row>
    <row r="972">
      <c r="G972" s="6"/>
      <c r="H972" s="6"/>
      <c r="L972" s="6"/>
    </row>
    <row r="973">
      <c r="G973" s="6"/>
      <c r="H973" s="6"/>
      <c r="L973" s="6"/>
    </row>
    <row r="974">
      <c r="G974" s="6"/>
      <c r="H974" s="6"/>
      <c r="L974" s="6"/>
    </row>
    <row r="975">
      <c r="G975" s="6"/>
      <c r="H975" s="6"/>
      <c r="L975" s="6"/>
    </row>
    <row r="976">
      <c r="G976" s="6"/>
      <c r="H976" s="6"/>
      <c r="L976" s="6"/>
    </row>
    <row r="977">
      <c r="G977" s="6"/>
      <c r="H977" s="6"/>
      <c r="L977" s="6"/>
    </row>
    <row r="978">
      <c r="G978" s="6"/>
      <c r="H978" s="6"/>
      <c r="L978" s="6"/>
    </row>
    <row r="979">
      <c r="G979" s="6"/>
      <c r="H979" s="6"/>
      <c r="L979" s="6"/>
    </row>
    <row r="980">
      <c r="G980" s="6"/>
      <c r="H980" s="6"/>
      <c r="L980" s="6"/>
    </row>
    <row r="981">
      <c r="G981" s="6"/>
      <c r="H981" s="6"/>
      <c r="L981" s="6"/>
    </row>
    <row r="982">
      <c r="G982" s="6"/>
      <c r="H982" s="6"/>
      <c r="L982" s="6"/>
    </row>
    <row r="983">
      <c r="G983" s="6"/>
      <c r="H983" s="6"/>
      <c r="L983" s="6"/>
    </row>
    <row r="984">
      <c r="G984" s="6"/>
      <c r="H984" s="6"/>
      <c r="L984" s="6"/>
    </row>
    <row r="985">
      <c r="G985" s="6"/>
      <c r="H985" s="6"/>
      <c r="L985" s="6"/>
    </row>
    <row r="986">
      <c r="G986" s="6"/>
      <c r="H986" s="6"/>
      <c r="L986" s="6"/>
    </row>
    <row r="987">
      <c r="G987" s="6"/>
      <c r="H987" s="6"/>
      <c r="L987" s="6"/>
    </row>
    <row r="988">
      <c r="G988" s="6"/>
      <c r="H988" s="6"/>
      <c r="L988" s="6"/>
    </row>
    <row r="989">
      <c r="G989" s="6"/>
      <c r="H989" s="6"/>
      <c r="L989" s="6"/>
    </row>
    <row r="990">
      <c r="G990" s="6"/>
      <c r="H990" s="6"/>
      <c r="L990" s="6"/>
    </row>
    <row r="991">
      <c r="G991" s="6"/>
      <c r="H991" s="6"/>
      <c r="L991" s="6"/>
    </row>
    <row r="992">
      <c r="G992" s="6"/>
      <c r="H992" s="6"/>
      <c r="L992" s="6"/>
    </row>
    <row r="993">
      <c r="G993" s="6"/>
      <c r="H993" s="6"/>
      <c r="L993" s="6"/>
    </row>
    <row r="994">
      <c r="G994" s="6"/>
      <c r="H994" s="6"/>
      <c r="L994" s="6"/>
    </row>
    <row r="995">
      <c r="G995" s="6"/>
      <c r="H995" s="6"/>
      <c r="L995" s="6"/>
    </row>
  </sheetData>
  <mergeCells count="10">
    <mergeCell ref="I15:L15"/>
    <mergeCell ref="M15:O15"/>
    <mergeCell ref="A1:A2"/>
    <mergeCell ref="C1:H1"/>
    <mergeCell ref="I1:L1"/>
    <mergeCell ref="M1:O1"/>
    <mergeCell ref="P1:Q1"/>
    <mergeCell ref="A15:A16"/>
    <mergeCell ref="C15:H15"/>
    <mergeCell ref="P15:Q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4.0"/>
  </cols>
  <sheetData>
    <row r="1">
      <c r="A1" s="35"/>
      <c r="B1" s="36" t="s">
        <v>1</v>
      </c>
      <c r="C1" s="13"/>
      <c r="D1" s="13"/>
      <c r="E1" s="13"/>
      <c r="F1" s="13"/>
      <c r="G1" s="14"/>
      <c r="H1" s="37" t="s">
        <v>39</v>
      </c>
      <c r="I1" s="13"/>
      <c r="J1" s="14"/>
      <c r="K1" s="37" t="s">
        <v>40</v>
      </c>
      <c r="L1" s="13"/>
      <c r="M1" s="14"/>
    </row>
    <row r="2">
      <c r="A2" s="38" t="s">
        <v>0</v>
      </c>
      <c r="B2" s="38" t="s">
        <v>7</v>
      </c>
      <c r="C2" s="38" t="s">
        <v>41</v>
      </c>
      <c r="D2" s="38" t="s">
        <v>42</v>
      </c>
      <c r="E2" s="38" t="s">
        <v>43</v>
      </c>
      <c r="F2" s="38" t="s">
        <v>44</v>
      </c>
      <c r="G2" s="38" t="s">
        <v>45</v>
      </c>
      <c r="H2" s="39" t="s">
        <v>46</v>
      </c>
      <c r="I2" s="39" t="s">
        <v>47</v>
      </c>
      <c r="J2" s="39" t="s">
        <v>43</v>
      </c>
      <c r="K2" s="39" t="s">
        <v>48</v>
      </c>
      <c r="L2" s="39" t="s">
        <v>49</v>
      </c>
      <c r="M2" s="39" t="s">
        <v>50</v>
      </c>
      <c r="N2" s="40" t="s">
        <v>51</v>
      </c>
      <c r="O2" s="38" t="s">
        <v>5</v>
      </c>
    </row>
    <row r="3">
      <c r="A3" s="41" t="s">
        <v>15</v>
      </c>
      <c r="B3" s="42">
        <v>78.0</v>
      </c>
      <c r="C3" s="43">
        <f t="shared" ref="C3:C13" si="1">N3-B3</f>
        <v>12</v>
      </c>
      <c r="D3" s="44">
        <f t="shared" ref="D3:D13" si="2">O3-B3</f>
        <v>17</v>
      </c>
      <c r="E3" s="45">
        <f t="shared" ref="E3:E14" si="3">B3/(B3+C3)</f>
        <v>0.8666666667</v>
      </c>
      <c r="F3" s="45">
        <f t="shared" ref="F3:F14" si="4">B3/(D3+B3)</f>
        <v>0.8210526316</v>
      </c>
      <c r="G3" s="45">
        <f t="shared" ref="G3:G14" si="5">2*F3*E3 / (E3+F3)</f>
        <v>0.8432432432</v>
      </c>
      <c r="H3" s="46">
        <v>79.0</v>
      </c>
      <c r="I3" s="42">
        <v>78.0</v>
      </c>
      <c r="J3" s="45">
        <f t="shared" ref="J3:J14" si="6">I3/H3</f>
        <v>0.9873417722</v>
      </c>
      <c r="K3" s="42">
        <v>77.0</v>
      </c>
      <c r="L3" s="42">
        <v>0.0</v>
      </c>
      <c r="M3" s="42">
        <v>1.0</v>
      </c>
      <c r="N3" s="46">
        <v>90.0</v>
      </c>
      <c r="O3" s="47">
        <v>95.0</v>
      </c>
    </row>
    <row r="4">
      <c r="A4" s="41" t="s">
        <v>17</v>
      </c>
      <c r="B4" s="42">
        <v>127.0</v>
      </c>
      <c r="C4" s="43">
        <f t="shared" si="1"/>
        <v>8</v>
      </c>
      <c r="D4" s="44">
        <f t="shared" si="2"/>
        <v>27</v>
      </c>
      <c r="E4" s="45">
        <f t="shared" si="3"/>
        <v>0.9407407407</v>
      </c>
      <c r="F4" s="45">
        <f t="shared" si="4"/>
        <v>0.8246753247</v>
      </c>
      <c r="G4" s="45">
        <f t="shared" si="5"/>
        <v>0.8788927336</v>
      </c>
      <c r="H4" s="46">
        <v>127.0</v>
      </c>
      <c r="I4" s="42">
        <v>127.0</v>
      </c>
      <c r="J4" s="45">
        <f t="shared" si="6"/>
        <v>1</v>
      </c>
      <c r="K4" s="42">
        <v>127.0</v>
      </c>
      <c r="L4" s="42">
        <v>0.0</v>
      </c>
      <c r="M4" s="42">
        <v>0.0</v>
      </c>
      <c r="N4" s="46">
        <v>135.0</v>
      </c>
      <c r="O4" s="47">
        <v>154.0</v>
      </c>
    </row>
    <row r="5">
      <c r="A5" s="41" t="s">
        <v>19</v>
      </c>
      <c r="B5" s="42">
        <v>23.0</v>
      </c>
      <c r="C5" s="43">
        <f t="shared" si="1"/>
        <v>15</v>
      </c>
      <c r="D5" s="44">
        <f t="shared" si="2"/>
        <v>22</v>
      </c>
      <c r="E5" s="45">
        <f t="shared" si="3"/>
        <v>0.6052631579</v>
      </c>
      <c r="F5" s="45">
        <f t="shared" si="4"/>
        <v>0.5111111111</v>
      </c>
      <c r="G5" s="45">
        <f t="shared" si="5"/>
        <v>0.5542168675</v>
      </c>
      <c r="H5" s="46">
        <v>29.0</v>
      </c>
      <c r="I5" s="42">
        <v>23.0</v>
      </c>
      <c r="J5" s="45">
        <f t="shared" si="6"/>
        <v>0.7931034483</v>
      </c>
      <c r="K5" s="42">
        <v>16.0</v>
      </c>
      <c r="L5" s="42">
        <v>2.0</v>
      </c>
      <c r="M5" s="42">
        <v>5.0</v>
      </c>
      <c r="N5" s="46">
        <v>38.0</v>
      </c>
      <c r="O5" s="47">
        <v>45.0</v>
      </c>
    </row>
    <row r="6">
      <c r="A6" s="41" t="s">
        <v>21</v>
      </c>
      <c r="B6" s="42">
        <v>21.0</v>
      </c>
      <c r="C6" s="43">
        <f t="shared" si="1"/>
        <v>9</v>
      </c>
      <c r="D6" s="44">
        <f t="shared" si="2"/>
        <v>18</v>
      </c>
      <c r="E6" s="45">
        <f t="shared" si="3"/>
        <v>0.7</v>
      </c>
      <c r="F6" s="45">
        <f t="shared" si="4"/>
        <v>0.5384615385</v>
      </c>
      <c r="G6" s="45">
        <f t="shared" si="5"/>
        <v>0.6086956522</v>
      </c>
      <c r="H6" s="46">
        <v>26.0</v>
      </c>
      <c r="I6" s="42">
        <v>21.0</v>
      </c>
      <c r="J6" s="45">
        <f t="shared" si="6"/>
        <v>0.8076923077</v>
      </c>
      <c r="K6" s="42">
        <v>13.0</v>
      </c>
      <c r="L6" s="42">
        <v>0.0</v>
      </c>
      <c r="M6" s="42">
        <v>8.0</v>
      </c>
      <c r="N6" s="46">
        <v>30.0</v>
      </c>
      <c r="O6" s="47">
        <v>39.0</v>
      </c>
    </row>
    <row r="7">
      <c r="A7" s="41" t="s">
        <v>23</v>
      </c>
      <c r="B7" s="42">
        <v>12.0</v>
      </c>
      <c r="C7" s="43">
        <f t="shared" si="1"/>
        <v>0</v>
      </c>
      <c r="D7" s="44">
        <f t="shared" si="2"/>
        <v>3</v>
      </c>
      <c r="E7" s="45">
        <f t="shared" si="3"/>
        <v>1</v>
      </c>
      <c r="F7" s="45">
        <f t="shared" si="4"/>
        <v>0.8</v>
      </c>
      <c r="G7" s="45">
        <f t="shared" si="5"/>
        <v>0.8888888889</v>
      </c>
      <c r="H7" s="46">
        <v>12.0</v>
      </c>
      <c r="I7" s="42">
        <v>12.0</v>
      </c>
      <c r="J7" s="45">
        <f t="shared" si="6"/>
        <v>1</v>
      </c>
      <c r="K7" s="42">
        <v>8.0</v>
      </c>
      <c r="L7" s="42">
        <v>4.0</v>
      </c>
      <c r="M7" s="42">
        <v>0.0</v>
      </c>
      <c r="N7" s="46">
        <v>12.0</v>
      </c>
      <c r="O7" s="47">
        <v>15.0</v>
      </c>
    </row>
    <row r="8">
      <c r="A8" s="41" t="s">
        <v>25</v>
      </c>
      <c r="B8" s="42">
        <v>5.0</v>
      </c>
      <c r="C8" s="43">
        <f t="shared" si="1"/>
        <v>2</v>
      </c>
      <c r="D8" s="44">
        <f t="shared" si="2"/>
        <v>1</v>
      </c>
      <c r="E8" s="45">
        <f t="shared" si="3"/>
        <v>0.7142857143</v>
      </c>
      <c r="F8" s="45">
        <f t="shared" si="4"/>
        <v>0.8333333333</v>
      </c>
      <c r="G8" s="45">
        <f t="shared" si="5"/>
        <v>0.7692307692</v>
      </c>
      <c r="H8" s="46">
        <v>6.0</v>
      </c>
      <c r="I8" s="42">
        <v>5.0</v>
      </c>
      <c r="J8" s="45">
        <f t="shared" si="6"/>
        <v>0.8333333333</v>
      </c>
      <c r="K8" s="42">
        <v>5.0</v>
      </c>
      <c r="L8" s="42">
        <v>0.0</v>
      </c>
      <c r="M8" s="42">
        <v>0.0</v>
      </c>
      <c r="N8" s="46">
        <v>7.0</v>
      </c>
      <c r="O8" s="47">
        <v>6.0</v>
      </c>
    </row>
    <row r="9">
      <c r="A9" s="41" t="s">
        <v>27</v>
      </c>
      <c r="B9" s="42">
        <v>17.0</v>
      </c>
      <c r="C9" s="43">
        <f t="shared" si="1"/>
        <v>7</v>
      </c>
      <c r="D9" s="44">
        <f t="shared" si="2"/>
        <v>8</v>
      </c>
      <c r="E9" s="45">
        <f t="shared" si="3"/>
        <v>0.7083333333</v>
      </c>
      <c r="F9" s="45">
        <f t="shared" si="4"/>
        <v>0.68</v>
      </c>
      <c r="G9" s="45">
        <f t="shared" si="5"/>
        <v>0.693877551</v>
      </c>
      <c r="H9" s="46">
        <v>19.0</v>
      </c>
      <c r="I9" s="42">
        <v>17.0</v>
      </c>
      <c r="J9" s="45">
        <f t="shared" si="6"/>
        <v>0.8947368421</v>
      </c>
      <c r="K9" s="42">
        <v>15.0</v>
      </c>
      <c r="L9" s="42">
        <v>0.0</v>
      </c>
      <c r="M9" s="42">
        <v>2.0</v>
      </c>
      <c r="N9" s="46">
        <v>24.0</v>
      </c>
      <c r="O9" s="47">
        <v>25.0</v>
      </c>
    </row>
    <row r="10">
      <c r="A10" s="41" t="s">
        <v>29</v>
      </c>
      <c r="B10" s="42">
        <v>19.0</v>
      </c>
      <c r="C10" s="43">
        <f t="shared" si="1"/>
        <v>0</v>
      </c>
      <c r="D10" s="44">
        <f t="shared" si="2"/>
        <v>6</v>
      </c>
      <c r="E10" s="45">
        <f t="shared" si="3"/>
        <v>1</v>
      </c>
      <c r="F10" s="45">
        <f t="shared" si="4"/>
        <v>0.76</v>
      </c>
      <c r="G10" s="45">
        <f t="shared" si="5"/>
        <v>0.8636363636</v>
      </c>
      <c r="H10" s="46">
        <v>19.0</v>
      </c>
      <c r="I10" s="42">
        <v>19.0</v>
      </c>
      <c r="J10" s="45">
        <f t="shared" si="6"/>
        <v>1</v>
      </c>
      <c r="K10" s="42">
        <v>10.0</v>
      </c>
      <c r="L10" s="42">
        <v>0.0</v>
      </c>
      <c r="M10" s="42">
        <v>9.0</v>
      </c>
      <c r="N10" s="46">
        <v>19.0</v>
      </c>
      <c r="O10" s="47">
        <v>25.0</v>
      </c>
    </row>
    <row r="11">
      <c r="A11" s="41" t="s">
        <v>31</v>
      </c>
      <c r="B11" s="42">
        <v>15.0</v>
      </c>
      <c r="C11" s="43">
        <f t="shared" si="1"/>
        <v>3</v>
      </c>
      <c r="D11" s="44">
        <f t="shared" si="2"/>
        <v>2</v>
      </c>
      <c r="E11" s="45">
        <f t="shared" si="3"/>
        <v>0.8333333333</v>
      </c>
      <c r="F11" s="45">
        <f t="shared" si="4"/>
        <v>0.8823529412</v>
      </c>
      <c r="G11" s="45">
        <f t="shared" si="5"/>
        <v>0.8571428571</v>
      </c>
      <c r="H11" s="46">
        <v>16.0</v>
      </c>
      <c r="I11" s="42">
        <v>15.0</v>
      </c>
      <c r="J11" s="45">
        <f t="shared" si="6"/>
        <v>0.9375</v>
      </c>
      <c r="K11" s="42">
        <v>8.0</v>
      </c>
      <c r="L11" s="42">
        <v>1.0</v>
      </c>
      <c r="M11" s="42">
        <v>6.0</v>
      </c>
      <c r="N11" s="46">
        <v>18.0</v>
      </c>
      <c r="O11" s="47">
        <v>17.0</v>
      </c>
    </row>
    <row r="12">
      <c r="A12" s="41" t="s">
        <v>33</v>
      </c>
      <c r="B12" s="42">
        <v>4.0</v>
      </c>
      <c r="C12" s="43">
        <f t="shared" si="1"/>
        <v>1</v>
      </c>
      <c r="D12" s="44">
        <f t="shared" si="2"/>
        <v>0</v>
      </c>
      <c r="E12" s="45">
        <f t="shared" si="3"/>
        <v>0.8</v>
      </c>
      <c r="F12" s="45">
        <f t="shared" si="4"/>
        <v>1</v>
      </c>
      <c r="G12" s="45">
        <f t="shared" si="5"/>
        <v>0.8888888889</v>
      </c>
      <c r="H12" s="46">
        <v>4.0</v>
      </c>
      <c r="I12" s="42">
        <v>4.0</v>
      </c>
      <c r="J12" s="45">
        <f t="shared" si="6"/>
        <v>1</v>
      </c>
      <c r="K12" s="42">
        <v>3.0</v>
      </c>
      <c r="L12" s="42">
        <v>1.0</v>
      </c>
      <c r="M12" s="42">
        <v>0.0</v>
      </c>
      <c r="N12" s="46">
        <v>5.0</v>
      </c>
      <c r="O12" s="47">
        <v>4.0</v>
      </c>
    </row>
    <row r="13">
      <c r="A13" s="41" t="s">
        <v>35</v>
      </c>
      <c r="B13" s="42">
        <v>122.0</v>
      </c>
      <c r="C13" s="43">
        <f t="shared" si="1"/>
        <v>13</v>
      </c>
      <c r="D13" s="44">
        <f t="shared" si="2"/>
        <v>31</v>
      </c>
      <c r="E13" s="45">
        <f t="shared" si="3"/>
        <v>0.9037037037</v>
      </c>
      <c r="F13" s="45">
        <f t="shared" si="4"/>
        <v>0.7973856209</v>
      </c>
      <c r="G13" s="45">
        <f t="shared" si="5"/>
        <v>0.8472222222</v>
      </c>
      <c r="H13" s="46">
        <v>124.0</v>
      </c>
      <c r="I13" s="42">
        <v>122.0</v>
      </c>
      <c r="J13" s="45">
        <f t="shared" si="6"/>
        <v>0.9838709677</v>
      </c>
      <c r="K13" s="42">
        <v>79.0</v>
      </c>
      <c r="L13" s="42">
        <v>1.0</v>
      </c>
      <c r="M13" s="42">
        <v>42.0</v>
      </c>
      <c r="N13" s="46">
        <v>135.0</v>
      </c>
      <c r="O13" s="47">
        <v>153.0</v>
      </c>
    </row>
    <row r="14">
      <c r="A14" s="41" t="s">
        <v>37</v>
      </c>
      <c r="B14" s="48">
        <f t="shared" ref="B14:D14" si="7">SUM(B3:B13)</f>
        <v>443</v>
      </c>
      <c r="C14" s="48">
        <f t="shared" si="7"/>
        <v>70</v>
      </c>
      <c r="D14" s="48">
        <f t="shared" si="7"/>
        <v>135</v>
      </c>
      <c r="E14" s="45">
        <f t="shared" si="3"/>
        <v>0.8635477583</v>
      </c>
      <c r="F14" s="45">
        <f t="shared" si="4"/>
        <v>0.7664359862</v>
      </c>
      <c r="G14" s="45">
        <f t="shared" si="5"/>
        <v>0.8120989918</v>
      </c>
      <c r="H14" s="48">
        <f t="shared" ref="H14:I14" si="8">SUM(H3:H13)</f>
        <v>461</v>
      </c>
      <c r="I14" s="48">
        <f t="shared" si="8"/>
        <v>443</v>
      </c>
      <c r="J14" s="45">
        <f t="shared" si="6"/>
        <v>0.9609544469</v>
      </c>
      <c r="K14" s="48">
        <f t="shared" ref="K14:O14" si="9">SUM(K3:K13)</f>
        <v>361</v>
      </c>
      <c r="L14" s="48">
        <f t="shared" si="9"/>
        <v>9</v>
      </c>
      <c r="M14" s="48">
        <f t="shared" si="9"/>
        <v>73</v>
      </c>
      <c r="N14" s="48">
        <f t="shared" si="9"/>
        <v>513</v>
      </c>
      <c r="O14" s="48">
        <f t="shared" si="9"/>
        <v>578</v>
      </c>
    </row>
    <row r="15">
      <c r="A15" s="49" t="s">
        <v>52</v>
      </c>
      <c r="B15" s="49"/>
      <c r="C15" s="49"/>
      <c r="D15" s="49"/>
      <c r="E15" s="49"/>
      <c r="F15" s="49"/>
      <c r="G15" s="49"/>
      <c r="H15" s="50" t="s">
        <v>53</v>
      </c>
      <c r="I15" s="49"/>
      <c r="J15" s="51"/>
      <c r="K15" s="49"/>
      <c r="L15" s="49"/>
      <c r="M15" s="49"/>
    </row>
    <row r="16">
      <c r="A16" s="52"/>
      <c r="B16" s="53"/>
      <c r="C16" s="53"/>
      <c r="D16" s="53"/>
      <c r="E16" s="53"/>
      <c r="F16" s="53"/>
      <c r="G16" s="53"/>
    </row>
    <row r="17">
      <c r="A17" s="4"/>
      <c r="B17" s="4"/>
      <c r="C17" s="4"/>
      <c r="D17" s="4"/>
      <c r="E17" s="4"/>
      <c r="F17" s="4"/>
      <c r="G17" s="4"/>
    </row>
    <row r="18">
      <c r="A18" s="4"/>
      <c r="B18" s="4"/>
      <c r="C18" s="4"/>
      <c r="D18" s="4"/>
      <c r="E18" s="4"/>
      <c r="F18" s="4"/>
      <c r="G18" s="4"/>
    </row>
    <row r="19">
      <c r="A19" s="4"/>
      <c r="B19" s="4"/>
      <c r="C19" s="4"/>
      <c r="D19" s="4"/>
      <c r="E19" s="4"/>
      <c r="F19" s="4"/>
      <c r="G19" s="4"/>
    </row>
    <row r="20">
      <c r="A20" s="4"/>
      <c r="B20" s="4"/>
      <c r="C20" s="4"/>
      <c r="D20" s="4"/>
      <c r="E20" s="4"/>
      <c r="F20" s="4"/>
      <c r="G20" s="4"/>
    </row>
    <row r="21">
      <c r="A21" s="4"/>
      <c r="B21" s="4"/>
      <c r="C21" s="4"/>
      <c r="D21" s="4"/>
      <c r="E21" s="4"/>
      <c r="F21" s="4"/>
      <c r="G21" s="4"/>
    </row>
    <row r="22">
      <c r="A22" s="4"/>
      <c r="B22" s="4"/>
      <c r="C22" s="4"/>
      <c r="D22" s="4"/>
      <c r="E22" s="4"/>
      <c r="F22" s="4"/>
      <c r="G22" s="4"/>
    </row>
    <row r="23">
      <c r="A23" s="4"/>
      <c r="B23" s="4"/>
      <c r="C23" s="4"/>
      <c r="D23" s="4"/>
      <c r="E23" s="4"/>
      <c r="F23" s="4"/>
      <c r="G23" s="4"/>
    </row>
    <row r="24">
      <c r="A24" s="4"/>
      <c r="B24" s="4"/>
      <c r="C24" s="4"/>
      <c r="D24" s="4"/>
      <c r="E24" s="4"/>
      <c r="F24" s="4"/>
      <c r="G24" s="4"/>
    </row>
    <row r="25">
      <c r="A25" s="4"/>
      <c r="B25" s="4"/>
      <c r="C25" s="4"/>
      <c r="D25" s="4"/>
      <c r="E25" s="4"/>
      <c r="F25" s="4"/>
      <c r="G25" s="4"/>
    </row>
    <row r="26">
      <c r="A26" s="4"/>
      <c r="B26" s="4"/>
      <c r="C26" s="4"/>
      <c r="D26" s="4"/>
      <c r="E26" s="4"/>
      <c r="F26" s="4"/>
      <c r="G26" s="4"/>
    </row>
    <row r="27">
      <c r="A27" s="4"/>
      <c r="B27" s="4"/>
      <c r="C27" s="4"/>
      <c r="D27" s="4"/>
      <c r="E27" s="4"/>
      <c r="F27" s="4"/>
      <c r="G27" s="4"/>
    </row>
  </sheetData>
  <mergeCells count="3">
    <mergeCell ref="B1:G1"/>
    <mergeCell ref="H1:J1"/>
    <mergeCell ref="K1:M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8.57"/>
    <col customWidth="1" min="2" max="2" width="18.29"/>
    <col customWidth="1" min="3" max="3" width="53.86"/>
    <col customWidth="1" min="4" max="4" width="96.86"/>
    <col customWidth="1" min="5" max="5" width="6.43"/>
    <col customWidth="1" min="6" max="26" width="8.71"/>
  </cols>
  <sheetData>
    <row r="1">
      <c r="A1" s="54" t="s">
        <v>54</v>
      </c>
      <c r="B1" s="54" t="s">
        <v>55</v>
      </c>
      <c r="C1" s="54" t="s">
        <v>56</v>
      </c>
      <c r="D1" s="54" t="s">
        <v>57</v>
      </c>
      <c r="E1" s="55" t="s">
        <v>58</v>
      </c>
    </row>
    <row r="2">
      <c r="A2" s="56" t="s">
        <v>59</v>
      </c>
      <c r="B2" s="56" t="s">
        <v>60</v>
      </c>
      <c r="C2" s="56" t="s">
        <v>61</v>
      </c>
      <c r="D2" s="56" t="s">
        <v>62</v>
      </c>
      <c r="E2" s="57">
        <v>0.0</v>
      </c>
    </row>
    <row r="3">
      <c r="A3" s="56" t="s">
        <v>59</v>
      </c>
      <c r="B3" s="56" t="s">
        <v>63</v>
      </c>
      <c r="C3" s="56" t="s">
        <v>64</v>
      </c>
      <c r="D3" s="56" t="s">
        <v>65</v>
      </c>
      <c r="E3" s="57">
        <v>0.0</v>
      </c>
    </row>
    <row r="4">
      <c r="A4" s="56" t="s">
        <v>59</v>
      </c>
      <c r="B4" s="56" t="s">
        <v>66</v>
      </c>
      <c r="C4" s="56" t="s">
        <v>67</v>
      </c>
      <c r="D4" s="56" t="s">
        <v>68</v>
      </c>
      <c r="E4" s="57">
        <v>0.0</v>
      </c>
    </row>
    <row r="5">
      <c r="A5" s="56" t="s">
        <v>59</v>
      </c>
      <c r="B5" s="56" t="s">
        <v>69</v>
      </c>
      <c r="C5" s="56" t="s">
        <v>70</v>
      </c>
      <c r="D5" s="56" t="s">
        <v>71</v>
      </c>
      <c r="E5" s="57">
        <v>0.0</v>
      </c>
    </row>
    <row r="6">
      <c r="A6" s="56" t="s">
        <v>59</v>
      </c>
      <c r="B6" s="56" t="s">
        <v>72</v>
      </c>
      <c r="C6" s="56" t="s">
        <v>73</v>
      </c>
      <c r="D6" s="56" t="s">
        <v>74</v>
      </c>
      <c r="E6" s="57">
        <v>0.0</v>
      </c>
    </row>
    <row r="7">
      <c r="A7" s="56" t="s">
        <v>59</v>
      </c>
      <c r="B7" s="56" t="s">
        <v>75</v>
      </c>
      <c r="C7" s="56" t="s">
        <v>76</v>
      </c>
      <c r="D7" s="56" t="s">
        <v>77</v>
      </c>
      <c r="E7" s="57">
        <v>0.0</v>
      </c>
    </row>
    <row r="8">
      <c r="A8" s="56" t="s">
        <v>59</v>
      </c>
      <c r="B8" s="56" t="s">
        <v>78</v>
      </c>
      <c r="C8" s="56" t="s">
        <v>79</v>
      </c>
      <c r="D8" s="56" t="s">
        <v>80</v>
      </c>
      <c r="E8" s="57">
        <v>0.0</v>
      </c>
    </row>
    <row r="9">
      <c r="A9" s="56" t="s">
        <v>59</v>
      </c>
      <c r="B9" s="56" t="s">
        <v>81</v>
      </c>
      <c r="C9" s="56" t="s">
        <v>82</v>
      </c>
      <c r="D9" s="56" t="s">
        <v>83</v>
      </c>
      <c r="E9" s="57">
        <v>0.0</v>
      </c>
    </row>
    <row r="10">
      <c r="A10" s="56" t="s">
        <v>59</v>
      </c>
      <c r="B10" s="56" t="s">
        <v>84</v>
      </c>
      <c r="C10" s="56" t="s">
        <v>85</v>
      </c>
      <c r="D10" s="56" t="s">
        <v>86</v>
      </c>
      <c r="E10" s="57">
        <v>1.0</v>
      </c>
    </row>
    <row r="11">
      <c r="A11" s="56" t="s">
        <v>59</v>
      </c>
      <c r="B11" s="56" t="s">
        <v>87</v>
      </c>
      <c r="C11" s="56" t="s">
        <v>88</v>
      </c>
      <c r="D11" s="56" t="s">
        <v>89</v>
      </c>
      <c r="E11" s="57">
        <v>0.0</v>
      </c>
    </row>
    <row r="12">
      <c r="A12" s="56" t="s">
        <v>59</v>
      </c>
      <c r="B12" s="56" t="s">
        <v>90</v>
      </c>
      <c r="C12" s="56" t="s">
        <v>91</v>
      </c>
      <c r="D12" s="56" t="s">
        <v>92</v>
      </c>
      <c r="E12" s="57">
        <v>0.0</v>
      </c>
    </row>
    <row r="13">
      <c r="A13" s="56" t="s">
        <v>59</v>
      </c>
      <c r="B13" s="56" t="s">
        <v>57</v>
      </c>
      <c r="C13" s="56" t="s">
        <v>93</v>
      </c>
      <c r="D13" s="56" t="s">
        <v>94</v>
      </c>
      <c r="E13" s="57">
        <v>0.0</v>
      </c>
    </row>
    <row r="14">
      <c r="A14" s="56" t="s">
        <v>59</v>
      </c>
      <c r="B14" s="56" t="s">
        <v>95</v>
      </c>
      <c r="C14" s="56" t="s">
        <v>96</v>
      </c>
      <c r="D14" s="56" t="s">
        <v>92</v>
      </c>
      <c r="E14" s="57">
        <v>0.0</v>
      </c>
    </row>
    <row r="15">
      <c r="A15" s="56" t="s">
        <v>59</v>
      </c>
      <c r="B15" s="56" t="s">
        <v>97</v>
      </c>
      <c r="C15" s="56" t="s">
        <v>98</v>
      </c>
      <c r="D15" s="56" t="s">
        <v>92</v>
      </c>
      <c r="E15" s="57">
        <v>0.0</v>
      </c>
    </row>
    <row r="16">
      <c r="A16" s="56" t="s">
        <v>59</v>
      </c>
      <c r="B16" s="56" t="s">
        <v>99</v>
      </c>
      <c r="C16" s="56" t="s">
        <v>100</v>
      </c>
      <c r="D16" s="56" t="s">
        <v>92</v>
      </c>
      <c r="E16" s="57">
        <v>0.0</v>
      </c>
    </row>
    <row r="17">
      <c r="A17" s="56" t="s">
        <v>59</v>
      </c>
      <c r="B17" s="56" t="s">
        <v>101</v>
      </c>
      <c r="C17" s="56" t="s">
        <v>102</v>
      </c>
      <c r="D17" s="56" t="s">
        <v>103</v>
      </c>
      <c r="E17" s="57">
        <v>0.0</v>
      </c>
    </row>
    <row r="18">
      <c r="A18" s="56" t="s">
        <v>59</v>
      </c>
      <c r="B18" s="56" t="s">
        <v>104</v>
      </c>
      <c r="C18" s="56" t="s">
        <v>105</v>
      </c>
      <c r="D18" s="56" t="s">
        <v>106</v>
      </c>
      <c r="E18" s="57">
        <v>0.0</v>
      </c>
    </row>
    <row r="19">
      <c r="A19" s="56" t="s">
        <v>59</v>
      </c>
      <c r="B19" s="56" t="s">
        <v>107</v>
      </c>
      <c r="C19" s="56" t="s">
        <v>108</v>
      </c>
      <c r="D19" s="56" t="s">
        <v>109</v>
      </c>
      <c r="E19" s="57">
        <v>1.0</v>
      </c>
    </row>
    <row r="20">
      <c r="A20" s="56" t="s">
        <v>59</v>
      </c>
      <c r="B20" s="56" t="s">
        <v>110</v>
      </c>
      <c r="C20" s="56" t="s">
        <v>111</v>
      </c>
      <c r="D20" s="56" t="s">
        <v>112</v>
      </c>
      <c r="E20" s="57">
        <v>1.0</v>
      </c>
    </row>
    <row r="21" ht="15.75" customHeight="1">
      <c r="A21" s="56" t="s">
        <v>59</v>
      </c>
      <c r="B21" s="56" t="s">
        <v>113</v>
      </c>
      <c r="C21" s="56" t="s">
        <v>114</v>
      </c>
      <c r="D21" s="56" t="s">
        <v>92</v>
      </c>
      <c r="E21" s="57">
        <v>0.0</v>
      </c>
    </row>
    <row r="22" ht="15.75" customHeight="1">
      <c r="A22" s="56" t="s">
        <v>59</v>
      </c>
      <c r="B22" s="56" t="s">
        <v>115</v>
      </c>
      <c r="C22" s="56" t="s">
        <v>116</v>
      </c>
      <c r="D22" s="56" t="s">
        <v>92</v>
      </c>
      <c r="E22" s="57">
        <v>0.0</v>
      </c>
    </row>
    <row r="23" ht="15.75" customHeight="1">
      <c r="A23" s="56" t="s">
        <v>59</v>
      </c>
      <c r="B23" s="56" t="s">
        <v>117</v>
      </c>
      <c r="C23" s="56" t="s">
        <v>118</v>
      </c>
      <c r="D23" s="56" t="s">
        <v>119</v>
      </c>
      <c r="E23" s="57">
        <v>0.0</v>
      </c>
    </row>
    <row r="24" ht="15.75" customHeight="1">
      <c r="A24" s="56" t="s">
        <v>59</v>
      </c>
      <c r="B24" s="56" t="s">
        <v>120</v>
      </c>
      <c r="C24" s="56" t="s">
        <v>121</v>
      </c>
      <c r="D24" s="56" t="s">
        <v>122</v>
      </c>
      <c r="E24" s="57">
        <v>0.0</v>
      </c>
    </row>
    <row r="25" ht="15.75" customHeight="1">
      <c r="A25" s="56" t="s">
        <v>59</v>
      </c>
      <c r="B25" s="56" t="s">
        <v>123</v>
      </c>
      <c r="C25" s="56" t="s">
        <v>124</v>
      </c>
      <c r="D25" s="56" t="s">
        <v>92</v>
      </c>
      <c r="E25" s="57">
        <v>0.0</v>
      </c>
    </row>
    <row r="26" ht="15.75" customHeight="1">
      <c r="A26" s="56" t="s">
        <v>59</v>
      </c>
      <c r="B26" s="56" t="s">
        <v>125</v>
      </c>
      <c r="C26" s="56" t="s">
        <v>126</v>
      </c>
      <c r="D26" s="56" t="s">
        <v>92</v>
      </c>
      <c r="E26" s="57">
        <v>0.0</v>
      </c>
    </row>
    <row r="27" ht="15.75" customHeight="1">
      <c r="A27" s="56" t="s">
        <v>59</v>
      </c>
      <c r="B27" s="56" t="s">
        <v>127</v>
      </c>
      <c r="C27" s="56" t="s">
        <v>128</v>
      </c>
      <c r="D27" s="56" t="s">
        <v>129</v>
      </c>
      <c r="E27" s="57">
        <v>0.0</v>
      </c>
    </row>
    <row r="28" ht="15.75" customHeight="1">
      <c r="A28" s="56" t="s">
        <v>59</v>
      </c>
      <c r="B28" s="56" t="s">
        <v>130</v>
      </c>
      <c r="C28" s="56" t="s">
        <v>131</v>
      </c>
      <c r="D28" s="56" t="s">
        <v>132</v>
      </c>
      <c r="E28" s="57">
        <v>0.0</v>
      </c>
    </row>
    <row r="29" ht="15.75" customHeight="1">
      <c r="A29" s="56" t="s">
        <v>59</v>
      </c>
      <c r="B29" s="56" t="s">
        <v>133</v>
      </c>
      <c r="C29" s="56" t="s">
        <v>134</v>
      </c>
      <c r="D29" s="56" t="s">
        <v>92</v>
      </c>
      <c r="E29" s="57">
        <v>0.0</v>
      </c>
    </row>
    <row r="30" ht="15.75" customHeight="1">
      <c r="A30" s="56" t="s">
        <v>59</v>
      </c>
      <c r="B30" s="56" t="s">
        <v>135</v>
      </c>
      <c r="C30" s="56" t="s">
        <v>136</v>
      </c>
      <c r="D30" s="56" t="s">
        <v>137</v>
      </c>
      <c r="E30" s="57">
        <v>-1.0</v>
      </c>
    </row>
    <row r="31" ht="15.75" customHeight="1">
      <c r="A31" s="56" t="s">
        <v>59</v>
      </c>
      <c r="B31" s="56" t="s">
        <v>138</v>
      </c>
      <c r="C31" s="56" t="s">
        <v>139</v>
      </c>
      <c r="D31" s="56" t="s">
        <v>140</v>
      </c>
      <c r="E31" s="57">
        <v>-1.0</v>
      </c>
    </row>
    <row r="32" ht="15.75" customHeight="1">
      <c r="A32" s="56" t="s">
        <v>59</v>
      </c>
      <c r="B32" s="56" t="s">
        <v>141</v>
      </c>
      <c r="C32" s="56" t="s">
        <v>142</v>
      </c>
      <c r="D32" s="56" t="s">
        <v>92</v>
      </c>
      <c r="E32" s="57">
        <v>-1.0</v>
      </c>
    </row>
    <row r="33" ht="15.75" customHeight="1">
      <c r="A33" s="56" t="s">
        <v>59</v>
      </c>
      <c r="B33" s="56" t="s">
        <v>143</v>
      </c>
      <c r="C33" s="56" t="s">
        <v>144</v>
      </c>
      <c r="D33" s="56" t="s">
        <v>92</v>
      </c>
      <c r="E33" s="57">
        <v>0.0</v>
      </c>
    </row>
    <row r="34" ht="15.75" customHeight="1">
      <c r="A34" s="56" t="s">
        <v>59</v>
      </c>
      <c r="B34" s="56" t="s">
        <v>145</v>
      </c>
      <c r="C34" s="56" t="s">
        <v>146</v>
      </c>
      <c r="D34" s="56" t="s">
        <v>92</v>
      </c>
      <c r="E34" s="57">
        <v>0.0</v>
      </c>
    </row>
    <row r="35" ht="15.75" customHeight="1">
      <c r="A35" s="56" t="s">
        <v>59</v>
      </c>
      <c r="B35" s="56" t="s">
        <v>147</v>
      </c>
      <c r="C35" s="56" t="s">
        <v>148</v>
      </c>
      <c r="D35" s="56" t="s">
        <v>92</v>
      </c>
      <c r="E35" s="57">
        <v>0.0</v>
      </c>
    </row>
    <row r="36" ht="15.75" customHeight="1">
      <c r="A36" s="56" t="s">
        <v>59</v>
      </c>
      <c r="B36" s="56" t="s">
        <v>149</v>
      </c>
      <c r="C36" s="56" t="s">
        <v>150</v>
      </c>
      <c r="D36" s="56" t="s">
        <v>151</v>
      </c>
      <c r="E36" s="57">
        <v>0.0</v>
      </c>
    </row>
    <row r="37" ht="15.75" customHeight="1">
      <c r="A37" s="56" t="s">
        <v>59</v>
      </c>
      <c r="B37" s="56" t="s">
        <v>152</v>
      </c>
      <c r="C37" s="56" t="s">
        <v>153</v>
      </c>
      <c r="D37" s="56" t="s">
        <v>92</v>
      </c>
      <c r="E37" s="57">
        <v>0.0</v>
      </c>
    </row>
    <row r="38" ht="15.75" customHeight="1">
      <c r="A38" s="56" t="s">
        <v>59</v>
      </c>
      <c r="B38" s="56" t="s">
        <v>154</v>
      </c>
      <c r="C38" s="56" t="s">
        <v>155</v>
      </c>
      <c r="D38" s="56" t="s">
        <v>92</v>
      </c>
      <c r="E38" s="4">
        <v>-1.0</v>
      </c>
    </row>
    <row r="39" ht="15.75" customHeight="1">
      <c r="A39" s="56" t="s">
        <v>59</v>
      </c>
      <c r="B39" s="56" t="s">
        <v>156</v>
      </c>
      <c r="C39" s="56" t="s">
        <v>157</v>
      </c>
      <c r="D39" s="56" t="s">
        <v>158</v>
      </c>
      <c r="E39" s="4">
        <v>0.0</v>
      </c>
    </row>
    <row r="40" ht="15.75" customHeight="1">
      <c r="A40" s="56" t="s">
        <v>59</v>
      </c>
      <c r="B40" s="56" t="s">
        <v>159</v>
      </c>
      <c r="C40" s="56" t="s">
        <v>160</v>
      </c>
      <c r="D40" s="56" t="s">
        <v>92</v>
      </c>
      <c r="E40" s="4">
        <v>0.0</v>
      </c>
    </row>
    <row r="41" ht="15.75" customHeight="1">
      <c r="A41" s="56" t="s">
        <v>59</v>
      </c>
      <c r="B41" s="56" t="s">
        <v>161</v>
      </c>
      <c r="C41" s="56" t="s">
        <v>162</v>
      </c>
      <c r="D41" s="56" t="s">
        <v>163</v>
      </c>
      <c r="E41" s="4">
        <v>0.0</v>
      </c>
    </row>
    <row r="42" ht="15.75" customHeight="1">
      <c r="A42" s="56" t="s">
        <v>59</v>
      </c>
      <c r="B42" s="56" t="s">
        <v>164</v>
      </c>
      <c r="C42" s="56" t="s">
        <v>165</v>
      </c>
      <c r="D42" s="56" t="s">
        <v>92</v>
      </c>
      <c r="E42" s="4">
        <v>0.0</v>
      </c>
    </row>
    <row r="43" ht="15.75" customHeight="1">
      <c r="A43" s="56" t="s">
        <v>59</v>
      </c>
      <c r="B43" s="56" t="s">
        <v>166</v>
      </c>
      <c r="C43" s="56" t="s">
        <v>167</v>
      </c>
      <c r="D43" s="56" t="s">
        <v>92</v>
      </c>
      <c r="E43" s="4">
        <v>0.0</v>
      </c>
    </row>
    <row r="44" ht="15.75" customHeight="1">
      <c r="A44" s="56" t="s">
        <v>59</v>
      </c>
      <c r="B44" s="56" t="s">
        <v>168</v>
      </c>
      <c r="C44" s="56" t="s">
        <v>169</v>
      </c>
      <c r="D44" s="56" t="s">
        <v>92</v>
      </c>
      <c r="E44" s="4">
        <v>0.0</v>
      </c>
    </row>
    <row r="45" ht="15.75" customHeight="1">
      <c r="A45" s="56" t="s">
        <v>59</v>
      </c>
      <c r="B45" s="56" t="s">
        <v>170</v>
      </c>
      <c r="C45" s="56" t="s">
        <v>171</v>
      </c>
      <c r="D45" s="56" t="s">
        <v>92</v>
      </c>
      <c r="E45" s="4">
        <v>0.0</v>
      </c>
    </row>
    <row r="46" ht="15.75" customHeight="1">
      <c r="A46" s="56" t="s">
        <v>59</v>
      </c>
      <c r="B46" s="56" t="s">
        <v>172</v>
      </c>
      <c r="C46" s="56" t="s">
        <v>173</v>
      </c>
      <c r="D46" s="56" t="s">
        <v>86</v>
      </c>
      <c r="E46" s="4">
        <v>1.0</v>
      </c>
    </row>
    <row r="47" ht="15.75" customHeight="1">
      <c r="A47" s="56" t="s">
        <v>59</v>
      </c>
      <c r="B47" s="56" t="s">
        <v>174</v>
      </c>
      <c r="C47" s="56" t="s">
        <v>175</v>
      </c>
      <c r="D47" s="56" t="s">
        <v>92</v>
      </c>
      <c r="E47" s="4">
        <v>0.0</v>
      </c>
    </row>
    <row r="48" ht="15.75" customHeight="1">
      <c r="A48" s="56" t="s">
        <v>59</v>
      </c>
      <c r="B48" s="56" t="s">
        <v>176</v>
      </c>
      <c r="C48" s="56" t="s">
        <v>177</v>
      </c>
      <c r="D48" s="56" t="s">
        <v>178</v>
      </c>
      <c r="E48" s="4">
        <v>1.0</v>
      </c>
    </row>
    <row r="49" ht="15.75" customHeight="1">
      <c r="A49" s="56"/>
      <c r="B49" s="56"/>
      <c r="C49" s="58"/>
      <c r="D49" s="56"/>
      <c r="E49" s="57"/>
    </row>
    <row r="50" ht="15.75" customHeight="1">
      <c r="A50" s="56"/>
      <c r="B50" s="56"/>
      <c r="C50" s="58"/>
      <c r="D50" s="56"/>
      <c r="E50" s="57"/>
    </row>
    <row r="51" ht="15.75" customHeight="1">
      <c r="A51" s="56"/>
      <c r="B51" s="56"/>
      <c r="C51" s="56"/>
      <c r="D51" s="56"/>
      <c r="E51" s="57"/>
    </row>
    <row r="52" ht="15.75" customHeight="1">
      <c r="A52" s="56"/>
      <c r="B52" s="56"/>
      <c r="C52" s="58"/>
      <c r="D52" s="56"/>
      <c r="E52" s="57"/>
    </row>
    <row r="53" ht="15.75" customHeight="1">
      <c r="A53" s="56"/>
      <c r="B53" s="56"/>
      <c r="C53" s="56"/>
      <c r="D53" s="56"/>
      <c r="E53" s="57"/>
    </row>
    <row r="54" ht="15.75" customHeight="1">
      <c r="A54" s="56"/>
      <c r="B54" s="56"/>
      <c r="C54" s="56"/>
      <c r="D54" s="56"/>
      <c r="E54" s="57"/>
    </row>
    <row r="55" ht="15.75" customHeight="1">
      <c r="A55" s="56"/>
      <c r="B55" s="56"/>
      <c r="C55" s="56"/>
      <c r="D55" s="56"/>
      <c r="E55" s="57"/>
    </row>
    <row r="56" ht="15.75" customHeight="1">
      <c r="A56" s="56"/>
      <c r="B56" s="56"/>
      <c r="C56" s="56"/>
      <c r="D56" s="56"/>
      <c r="E56" s="57"/>
    </row>
    <row r="57" ht="15.75" customHeight="1">
      <c r="A57" s="56"/>
      <c r="B57" s="56"/>
      <c r="C57" s="56"/>
      <c r="D57" s="56"/>
      <c r="E57" s="57"/>
    </row>
    <row r="58" ht="15.75" customHeight="1">
      <c r="A58" s="56"/>
      <c r="B58" s="56"/>
      <c r="C58" s="56"/>
      <c r="D58" s="56"/>
      <c r="E58" s="57"/>
    </row>
    <row r="59" ht="15.75" customHeight="1">
      <c r="A59" s="56"/>
      <c r="B59" s="56"/>
      <c r="C59" s="56"/>
      <c r="D59" s="56"/>
      <c r="E59" s="57"/>
    </row>
    <row r="60" ht="15.75" customHeight="1">
      <c r="A60" s="56"/>
      <c r="B60" s="56"/>
      <c r="C60" s="56"/>
      <c r="D60" s="58"/>
      <c r="E60" s="57"/>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24.14"/>
    <col customWidth="1" min="3" max="3" width="55.57"/>
    <col customWidth="1" min="4" max="4" width="94.57"/>
    <col customWidth="1" min="5" max="5" width="7.14"/>
    <col customWidth="1" min="6" max="26" width="8.71"/>
  </cols>
  <sheetData>
    <row r="1">
      <c r="A1" s="54" t="s">
        <v>54</v>
      </c>
      <c r="B1" s="54" t="s">
        <v>55</v>
      </c>
      <c r="C1" s="54" t="s">
        <v>56</v>
      </c>
      <c r="D1" s="54" t="s">
        <v>57</v>
      </c>
      <c r="E1" s="55" t="s">
        <v>58</v>
      </c>
    </row>
    <row r="2">
      <c r="A2" s="56" t="s">
        <v>179</v>
      </c>
      <c r="B2" s="56" t="s">
        <v>60</v>
      </c>
      <c r="C2" s="56" t="s">
        <v>61</v>
      </c>
      <c r="D2" s="56" t="s">
        <v>62</v>
      </c>
      <c r="E2" s="57">
        <v>0.0</v>
      </c>
    </row>
    <row r="3">
      <c r="A3" s="56" t="s">
        <v>179</v>
      </c>
      <c r="B3" s="56" t="s">
        <v>63</v>
      </c>
      <c r="C3" s="56" t="s">
        <v>64</v>
      </c>
      <c r="D3" s="56" t="s">
        <v>65</v>
      </c>
      <c r="E3" s="57">
        <v>0.0</v>
      </c>
    </row>
    <row r="4">
      <c r="A4" s="56" t="s">
        <v>179</v>
      </c>
      <c r="B4" s="56" t="s">
        <v>66</v>
      </c>
      <c r="C4" s="56" t="s">
        <v>67</v>
      </c>
      <c r="D4" s="56" t="s">
        <v>68</v>
      </c>
      <c r="E4" s="57">
        <v>0.0</v>
      </c>
    </row>
    <row r="5">
      <c r="A5" s="56" t="s">
        <v>179</v>
      </c>
      <c r="B5" s="56" t="s">
        <v>69</v>
      </c>
      <c r="C5" s="56" t="s">
        <v>70</v>
      </c>
      <c r="D5" s="56" t="s">
        <v>71</v>
      </c>
      <c r="E5" s="57">
        <v>0.0</v>
      </c>
    </row>
    <row r="6">
      <c r="A6" s="56" t="s">
        <v>179</v>
      </c>
      <c r="B6" s="56" t="s">
        <v>75</v>
      </c>
      <c r="C6" s="56" t="s">
        <v>76</v>
      </c>
      <c r="D6" s="56" t="s">
        <v>77</v>
      </c>
      <c r="E6" s="57">
        <v>0.0</v>
      </c>
    </row>
    <row r="7">
      <c r="A7" s="56" t="s">
        <v>179</v>
      </c>
      <c r="B7" s="56" t="s">
        <v>78</v>
      </c>
      <c r="C7" s="56" t="s">
        <v>79</v>
      </c>
      <c r="D7" s="56" t="s">
        <v>80</v>
      </c>
      <c r="E7" s="57">
        <v>0.0</v>
      </c>
    </row>
    <row r="8">
      <c r="A8" s="56" t="s">
        <v>179</v>
      </c>
      <c r="B8" s="56" t="s">
        <v>81</v>
      </c>
      <c r="C8" s="56" t="s">
        <v>82</v>
      </c>
      <c r="D8" s="56" t="s">
        <v>83</v>
      </c>
      <c r="E8" s="57">
        <v>0.0</v>
      </c>
    </row>
    <row r="9">
      <c r="A9" s="56" t="s">
        <v>179</v>
      </c>
      <c r="B9" s="56" t="s">
        <v>84</v>
      </c>
      <c r="C9" s="56" t="s">
        <v>85</v>
      </c>
      <c r="D9" s="56" t="s">
        <v>86</v>
      </c>
      <c r="E9" s="57">
        <v>1.0</v>
      </c>
    </row>
    <row r="10">
      <c r="A10" s="56" t="s">
        <v>179</v>
      </c>
      <c r="B10" s="56" t="s">
        <v>90</v>
      </c>
      <c r="C10" s="56" t="s">
        <v>91</v>
      </c>
      <c r="D10" s="56" t="s">
        <v>92</v>
      </c>
      <c r="E10" s="57">
        <v>0.0</v>
      </c>
    </row>
    <row r="11">
      <c r="A11" s="56" t="s">
        <v>179</v>
      </c>
      <c r="B11" s="56" t="s">
        <v>95</v>
      </c>
      <c r="C11" s="56" t="s">
        <v>96</v>
      </c>
      <c r="D11" s="56" t="s">
        <v>92</v>
      </c>
      <c r="E11" s="57">
        <v>0.0</v>
      </c>
    </row>
    <row r="12">
      <c r="A12" s="56" t="s">
        <v>179</v>
      </c>
      <c r="B12" s="56" t="s">
        <v>97</v>
      </c>
      <c r="C12" s="56" t="s">
        <v>98</v>
      </c>
      <c r="D12" s="56" t="s">
        <v>92</v>
      </c>
      <c r="E12" s="57">
        <v>0.0</v>
      </c>
    </row>
    <row r="13">
      <c r="A13" s="56" t="s">
        <v>179</v>
      </c>
      <c r="B13" s="56" t="s">
        <v>99</v>
      </c>
      <c r="C13" s="56" t="s">
        <v>100</v>
      </c>
      <c r="D13" s="56" t="s">
        <v>92</v>
      </c>
      <c r="E13" s="57">
        <v>0.0</v>
      </c>
    </row>
    <row r="14">
      <c r="A14" s="56" t="s">
        <v>179</v>
      </c>
      <c r="B14" s="56" t="s">
        <v>101</v>
      </c>
      <c r="C14" s="56" t="s">
        <v>102</v>
      </c>
      <c r="D14" s="56" t="s">
        <v>103</v>
      </c>
      <c r="E14" s="57">
        <v>0.0</v>
      </c>
    </row>
    <row r="15">
      <c r="A15" s="56" t="s">
        <v>179</v>
      </c>
      <c r="B15" s="56" t="s">
        <v>104</v>
      </c>
      <c r="C15" s="56" t="s">
        <v>105</v>
      </c>
      <c r="D15" s="56" t="s">
        <v>106</v>
      </c>
      <c r="E15" s="57">
        <v>0.0</v>
      </c>
    </row>
    <row r="16">
      <c r="A16" s="56" t="s">
        <v>179</v>
      </c>
      <c r="B16" s="56" t="s">
        <v>113</v>
      </c>
      <c r="C16" s="56" t="s">
        <v>114</v>
      </c>
      <c r="D16" s="56" t="s">
        <v>92</v>
      </c>
      <c r="E16" s="57">
        <v>0.0</v>
      </c>
    </row>
    <row r="17">
      <c r="A17" s="56" t="s">
        <v>179</v>
      </c>
      <c r="B17" s="56" t="s">
        <v>117</v>
      </c>
      <c r="C17" s="56" t="s">
        <v>118</v>
      </c>
      <c r="D17" s="56" t="s">
        <v>119</v>
      </c>
      <c r="E17" s="57">
        <v>0.0</v>
      </c>
    </row>
    <row r="18">
      <c r="A18" s="56" t="s">
        <v>179</v>
      </c>
      <c r="B18" s="56" t="s">
        <v>120</v>
      </c>
      <c r="C18" s="56" t="s">
        <v>121</v>
      </c>
      <c r="D18" s="56" t="s">
        <v>122</v>
      </c>
      <c r="E18" s="57">
        <v>0.0</v>
      </c>
    </row>
    <row r="19">
      <c r="A19" s="56" t="s">
        <v>179</v>
      </c>
      <c r="B19" s="56" t="s">
        <v>123</v>
      </c>
      <c r="C19" s="56" t="s">
        <v>124</v>
      </c>
      <c r="D19" s="56" t="s">
        <v>92</v>
      </c>
      <c r="E19" s="57">
        <v>0.0</v>
      </c>
    </row>
    <row r="20">
      <c r="A20" s="56" t="s">
        <v>179</v>
      </c>
      <c r="B20" s="56" t="s">
        <v>125</v>
      </c>
      <c r="C20" s="56" t="s">
        <v>180</v>
      </c>
      <c r="D20" s="56" t="s">
        <v>92</v>
      </c>
      <c r="E20" s="57">
        <v>0.0</v>
      </c>
    </row>
    <row r="21" ht="15.75" customHeight="1">
      <c r="A21" s="56" t="s">
        <v>179</v>
      </c>
      <c r="B21" s="56" t="s">
        <v>127</v>
      </c>
      <c r="C21" s="56" t="s">
        <v>128</v>
      </c>
      <c r="D21" s="56" t="s">
        <v>129</v>
      </c>
      <c r="E21" s="57">
        <v>0.0</v>
      </c>
    </row>
    <row r="22" ht="15.75" customHeight="1">
      <c r="A22" s="56" t="s">
        <v>179</v>
      </c>
      <c r="B22" s="56" t="s">
        <v>130</v>
      </c>
      <c r="C22" s="56" t="s">
        <v>181</v>
      </c>
      <c r="D22" s="56" t="s">
        <v>132</v>
      </c>
      <c r="E22" s="57">
        <v>0.0</v>
      </c>
    </row>
    <row r="23" ht="15.75" customHeight="1">
      <c r="A23" s="56" t="s">
        <v>179</v>
      </c>
      <c r="B23" s="56" t="s">
        <v>133</v>
      </c>
      <c r="C23" s="56" t="s">
        <v>182</v>
      </c>
      <c r="D23" s="56" t="s">
        <v>92</v>
      </c>
      <c r="E23" s="57">
        <v>0.0</v>
      </c>
    </row>
    <row r="24" ht="15.75" customHeight="1">
      <c r="A24" s="56" t="s">
        <v>179</v>
      </c>
      <c r="B24" s="56" t="s">
        <v>135</v>
      </c>
      <c r="C24" s="56" t="s">
        <v>183</v>
      </c>
      <c r="D24" s="56" t="s">
        <v>137</v>
      </c>
      <c r="E24" s="57">
        <v>0.0</v>
      </c>
    </row>
    <row r="25" ht="15.75" customHeight="1">
      <c r="A25" s="56" t="s">
        <v>179</v>
      </c>
      <c r="B25" s="56" t="s">
        <v>138</v>
      </c>
      <c r="C25" s="56" t="s">
        <v>184</v>
      </c>
      <c r="D25" s="56" t="s">
        <v>140</v>
      </c>
      <c r="E25" s="57">
        <v>0.0</v>
      </c>
    </row>
    <row r="26" ht="15.75" customHeight="1">
      <c r="A26" s="56" t="s">
        <v>179</v>
      </c>
      <c r="B26" s="56" t="s">
        <v>141</v>
      </c>
      <c r="C26" s="56" t="s">
        <v>185</v>
      </c>
      <c r="D26" s="56" t="s">
        <v>92</v>
      </c>
      <c r="E26" s="57">
        <v>-1.0</v>
      </c>
    </row>
    <row r="27" ht="15.75" customHeight="1">
      <c r="A27" s="56" t="s">
        <v>179</v>
      </c>
      <c r="B27" s="56" t="s">
        <v>143</v>
      </c>
      <c r="C27" s="56" t="s">
        <v>186</v>
      </c>
      <c r="D27" s="56" t="s">
        <v>92</v>
      </c>
      <c r="E27" s="57">
        <v>0.0</v>
      </c>
    </row>
    <row r="28" ht="15.75" customHeight="1">
      <c r="A28" s="56" t="s">
        <v>179</v>
      </c>
      <c r="B28" s="56" t="s">
        <v>145</v>
      </c>
      <c r="C28" s="56" t="s">
        <v>187</v>
      </c>
      <c r="D28" s="56" t="s">
        <v>92</v>
      </c>
      <c r="E28" s="57">
        <v>0.0</v>
      </c>
    </row>
    <row r="29" ht="15.75" customHeight="1">
      <c r="A29" s="56" t="s">
        <v>179</v>
      </c>
      <c r="B29" s="56" t="s">
        <v>147</v>
      </c>
      <c r="C29" s="56" t="s">
        <v>188</v>
      </c>
      <c r="D29" s="56" t="s">
        <v>92</v>
      </c>
      <c r="E29" s="57">
        <v>0.0</v>
      </c>
    </row>
    <row r="30" ht="15.75" customHeight="1">
      <c r="A30" s="56" t="s">
        <v>179</v>
      </c>
      <c r="B30" s="56" t="s">
        <v>149</v>
      </c>
      <c r="C30" s="56" t="s">
        <v>189</v>
      </c>
      <c r="D30" s="56" t="s">
        <v>151</v>
      </c>
      <c r="E30" s="57">
        <v>0.0</v>
      </c>
    </row>
    <row r="31" ht="15.75" customHeight="1">
      <c r="A31" s="56" t="s">
        <v>179</v>
      </c>
      <c r="B31" s="56" t="s">
        <v>152</v>
      </c>
      <c r="C31" s="56" t="s">
        <v>190</v>
      </c>
      <c r="D31" s="56" t="s">
        <v>92</v>
      </c>
      <c r="E31" s="57">
        <v>0.0</v>
      </c>
    </row>
    <row r="32" ht="15.75" customHeight="1">
      <c r="A32" s="56" t="s">
        <v>179</v>
      </c>
      <c r="B32" s="56" t="s">
        <v>154</v>
      </c>
      <c r="C32" s="56" t="s">
        <v>191</v>
      </c>
      <c r="D32" s="56" t="s">
        <v>92</v>
      </c>
      <c r="E32" s="57">
        <v>-1.0</v>
      </c>
    </row>
    <row r="33" ht="15.75" customHeight="1">
      <c r="A33" s="56" t="s">
        <v>179</v>
      </c>
      <c r="B33" s="56" t="s">
        <v>156</v>
      </c>
      <c r="C33" s="56" t="s">
        <v>157</v>
      </c>
      <c r="D33" s="56" t="s">
        <v>158</v>
      </c>
      <c r="E33" s="57">
        <v>0.0</v>
      </c>
    </row>
    <row r="34" ht="15.75" customHeight="1">
      <c r="A34" s="56" t="s">
        <v>179</v>
      </c>
      <c r="B34" s="56" t="s">
        <v>159</v>
      </c>
      <c r="C34" s="56" t="s">
        <v>160</v>
      </c>
      <c r="D34" s="56" t="s">
        <v>92</v>
      </c>
      <c r="E34" s="57">
        <v>0.0</v>
      </c>
    </row>
    <row r="35" ht="15.75" customHeight="1">
      <c r="A35" s="56" t="s">
        <v>179</v>
      </c>
      <c r="B35" s="56" t="s">
        <v>161</v>
      </c>
      <c r="C35" s="56" t="s">
        <v>162</v>
      </c>
      <c r="D35" s="56" t="s">
        <v>163</v>
      </c>
      <c r="E35" s="57">
        <v>0.0</v>
      </c>
    </row>
    <row r="36" ht="15.75" customHeight="1">
      <c r="A36" s="56" t="s">
        <v>179</v>
      </c>
      <c r="B36" s="56" t="s">
        <v>164</v>
      </c>
      <c r="C36" s="56" t="s">
        <v>165</v>
      </c>
      <c r="D36" s="56" t="s">
        <v>92</v>
      </c>
      <c r="E36" s="57">
        <v>0.0</v>
      </c>
    </row>
    <row r="37" ht="15.75" customHeight="1">
      <c r="A37" s="56" t="s">
        <v>179</v>
      </c>
      <c r="B37" s="56" t="s">
        <v>166</v>
      </c>
      <c r="C37" s="56" t="s">
        <v>167</v>
      </c>
      <c r="D37" s="56" t="s">
        <v>92</v>
      </c>
      <c r="E37" s="57">
        <v>0.0</v>
      </c>
    </row>
    <row r="38" ht="15.75" customHeight="1">
      <c r="A38" s="56" t="s">
        <v>179</v>
      </c>
      <c r="B38" s="56" t="s">
        <v>168</v>
      </c>
      <c r="C38" s="56" t="s">
        <v>169</v>
      </c>
      <c r="D38" s="56" t="s">
        <v>92</v>
      </c>
      <c r="E38" s="57">
        <v>0.0</v>
      </c>
    </row>
    <row r="39" ht="15.75" customHeight="1">
      <c r="A39" s="56" t="s">
        <v>179</v>
      </c>
      <c r="B39" s="56" t="s">
        <v>170</v>
      </c>
      <c r="C39" s="56" t="s">
        <v>171</v>
      </c>
      <c r="D39" s="56" t="s">
        <v>92</v>
      </c>
      <c r="E39" s="57">
        <v>0.0</v>
      </c>
    </row>
    <row r="40" ht="15.75" customHeight="1">
      <c r="A40" s="56" t="s">
        <v>179</v>
      </c>
      <c r="B40" s="56" t="s">
        <v>172</v>
      </c>
      <c r="C40" s="56" t="s">
        <v>173</v>
      </c>
      <c r="D40" s="56" t="s">
        <v>86</v>
      </c>
      <c r="E40" s="57">
        <v>1.0</v>
      </c>
    </row>
    <row r="41" ht="15.75" customHeight="1">
      <c r="A41" s="56" t="s">
        <v>179</v>
      </c>
      <c r="B41" s="56" t="s">
        <v>174</v>
      </c>
      <c r="C41" s="56" t="s">
        <v>175</v>
      </c>
      <c r="D41" s="56" t="s">
        <v>92</v>
      </c>
      <c r="E41" s="56">
        <v>-1.0</v>
      </c>
    </row>
    <row r="42" ht="15.75" customHeight="1">
      <c r="E42" s="60"/>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30.29"/>
    <col customWidth="1" min="3" max="3" width="72.86"/>
    <col customWidth="1" min="4" max="4" width="106.43"/>
    <col customWidth="1" min="5" max="26" width="8.71"/>
  </cols>
  <sheetData>
    <row r="1">
      <c r="A1" s="54" t="s">
        <v>54</v>
      </c>
      <c r="B1" s="54" t="s">
        <v>55</v>
      </c>
      <c r="C1" s="54" t="s">
        <v>56</v>
      </c>
      <c r="D1" s="54" t="s">
        <v>57</v>
      </c>
      <c r="E1" s="55" t="s">
        <v>58</v>
      </c>
    </row>
    <row r="2">
      <c r="A2" s="56" t="s">
        <v>192</v>
      </c>
      <c r="B2" s="56" t="s">
        <v>193</v>
      </c>
      <c r="C2" s="56" t="s">
        <v>194</v>
      </c>
      <c r="D2" s="56" t="s">
        <v>195</v>
      </c>
      <c r="E2" s="57">
        <v>-1.0</v>
      </c>
    </row>
    <row r="3">
      <c r="A3" s="56" t="s">
        <v>192</v>
      </c>
      <c r="B3" s="56" t="s">
        <v>196</v>
      </c>
      <c r="C3" s="56" t="s">
        <v>197</v>
      </c>
      <c r="D3" s="56" t="s">
        <v>198</v>
      </c>
      <c r="E3" s="57">
        <v>1.0</v>
      </c>
    </row>
    <row r="4">
      <c r="A4" s="56" t="s">
        <v>192</v>
      </c>
      <c r="B4" s="56" t="s">
        <v>199</v>
      </c>
      <c r="C4" s="56" t="s">
        <v>200</v>
      </c>
      <c r="D4" s="56" t="s">
        <v>201</v>
      </c>
      <c r="E4" s="57">
        <v>1.0</v>
      </c>
    </row>
    <row r="5">
      <c r="A5" s="56" t="s">
        <v>192</v>
      </c>
      <c r="B5" s="61" t="s">
        <v>202</v>
      </c>
      <c r="C5" s="56" t="s">
        <v>203</v>
      </c>
      <c r="D5" s="56" t="s">
        <v>204</v>
      </c>
      <c r="E5" s="57">
        <v>1.0</v>
      </c>
    </row>
    <row r="6">
      <c r="A6" s="56" t="s">
        <v>192</v>
      </c>
      <c r="B6" s="56" t="s">
        <v>205</v>
      </c>
      <c r="C6" s="56" t="s">
        <v>206</v>
      </c>
      <c r="D6" s="56" t="s">
        <v>207</v>
      </c>
      <c r="E6" s="57">
        <v>1.0</v>
      </c>
    </row>
    <row r="7">
      <c r="A7" s="56" t="s">
        <v>192</v>
      </c>
      <c r="B7" s="56" t="s">
        <v>208</v>
      </c>
      <c r="C7" s="56" t="s">
        <v>209</v>
      </c>
      <c r="D7" s="56" t="s">
        <v>210</v>
      </c>
      <c r="E7" s="57">
        <v>1.0</v>
      </c>
    </row>
    <row r="8">
      <c r="A8" s="56" t="s">
        <v>192</v>
      </c>
      <c r="B8" s="56" t="s">
        <v>211</v>
      </c>
      <c r="C8" s="56" t="s">
        <v>212</v>
      </c>
      <c r="D8" s="56" t="s">
        <v>213</v>
      </c>
      <c r="E8" s="57">
        <v>0.0</v>
      </c>
    </row>
    <row r="9">
      <c r="A9" s="56" t="s">
        <v>192</v>
      </c>
      <c r="B9" s="56" t="s">
        <v>214</v>
      </c>
      <c r="C9" s="56" t="s">
        <v>215</v>
      </c>
      <c r="D9" s="56" t="s">
        <v>216</v>
      </c>
      <c r="E9" s="57">
        <v>0.0</v>
      </c>
    </row>
    <row r="10">
      <c r="A10" s="56" t="s">
        <v>192</v>
      </c>
      <c r="B10" s="56" t="s">
        <v>217</v>
      </c>
      <c r="C10" s="56" t="s">
        <v>218</v>
      </c>
      <c r="D10" s="56" t="s">
        <v>219</v>
      </c>
      <c r="E10" s="57">
        <v>1.0</v>
      </c>
    </row>
    <row r="11">
      <c r="A11" s="56" t="s">
        <v>192</v>
      </c>
      <c r="B11" s="56" t="s">
        <v>220</v>
      </c>
      <c r="C11" s="56" t="s">
        <v>221</v>
      </c>
      <c r="D11" s="56" t="s">
        <v>222</v>
      </c>
      <c r="E11" s="57">
        <v>-1.0</v>
      </c>
    </row>
    <row r="12">
      <c r="A12" s="56"/>
      <c r="B12" s="56"/>
      <c r="C12" s="56"/>
      <c r="D12" s="56"/>
      <c r="E12" s="57"/>
    </row>
    <row r="13">
      <c r="A13" s="56"/>
      <c r="B13" s="56"/>
      <c r="C13" s="56"/>
      <c r="D13" s="56"/>
      <c r="E13" s="57"/>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8.14"/>
    <col customWidth="1" min="3" max="3" width="44.29"/>
    <col customWidth="1" min="4" max="4" width="97.0"/>
    <col customWidth="1" min="5" max="5" width="30.57"/>
    <col customWidth="1" min="6" max="26" width="8.71"/>
  </cols>
  <sheetData>
    <row r="1">
      <c r="A1" s="54" t="s">
        <v>54</v>
      </c>
      <c r="B1" s="54" t="s">
        <v>55</v>
      </c>
      <c r="C1" s="54" t="s">
        <v>56</v>
      </c>
      <c r="D1" s="54" t="s">
        <v>57</v>
      </c>
      <c r="E1" s="55" t="s">
        <v>58</v>
      </c>
    </row>
    <row r="2">
      <c r="A2" s="56" t="s">
        <v>223</v>
      </c>
      <c r="B2" s="56" t="s">
        <v>224</v>
      </c>
      <c r="C2" s="56" t="s">
        <v>225</v>
      </c>
      <c r="D2" s="56" t="s">
        <v>226</v>
      </c>
      <c r="E2" s="56">
        <v>1.0</v>
      </c>
    </row>
    <row r="3">
      <c r="A3" s="56" t="s">
        <v>223</v>
      </c>
      <c r="B3" s="56" t="s">
        <v>227</v>
      </c>
      <c r="C3" s="56" t="s">
        <v>228</v>
      </c>
      <c r="D3" s="56" t="s">
        <v>229</v>
      </c>
      <c r="E3" s="4">
        <v>0.0</v>
      </c>
    </row>
    <row r="4">
      <c r="A4" s="56" t="s">
        <v>223</v>
      </c>
      <c r="B4" s="56" t="s">
        <v>230</v>
      </c>
      <c r="C4" s="56" t="s">
        <v>231</v>
      </c>
      <c r="D4" s="56" t="s">
        <v>232</v>
      </c>
      <c r="E4" s="56">
        <v>-1.0</v>
      </c>
    </row>
    <row r="5">
      <c r="A5" s="56" t="s">
        <v>223</v>
      </c>
      <c r="B5" s="61" t="s">
        <v>233</v>
      </c>
      <c r="C5" s="56" t="s">
        <v>234</v>
      </c>
      <c r="D5" s="56" t="s">
        <v>235</v>
      </c>
      <c r="E5" s="56">
        <v>1.0</v>
      </c>
    </row>
    <row r="6">
      <c r="A6" s="56" t="s">
        <v>223</v>
      </c>
      <c r="B6" s="56" t="s">
        <v>236</v>
      </c>
      <c r="C6" s="56" t="s">
        <v>237</v>
      </c>
      <c r="D6" s="56" t="s">
        <v>238</v>
      </c>
      <c r="E6" s="56"/>
    </row>
    <row r="7">
      <c r="A7" s="56" t="s">
        <v>223</v>
      </c>
      <c r="B7" s="56" t="s">
        <v>239</v>
      </c>
      <c r="C7" s="56" t="s">
        <v>240</v>
      </c>
      <c r="D7" s="56" t="s">
        <v>241</v>
      </c>
      <c r="E7" s="56">
        <v>0.0</v>
      </c>
    </row>
    <row r="8">
      <c r="A8" s="56" t="s">
        <v>223</v>
      </c>
      <c r="B8" s="56" t="s">
        <v>242</v>
      </c>
      <c r="C8" s="56" t="s">
        <v>243</v>
      </c>
      <c r="D8" s="56" t="s">
        <v>244</v>
      </c>
      <c r="E8" s="56">
        <v>1.0</v>
      </c>
    </row>
    <row r="9">
      <c r="A9" s="56" t="s">
        <v>223</v>
      </c>
      <c r="B9" s="56" t="s">
        <v>245</v>
      </c>
      <c r="C9" s="56" t="s">
        <v>246</v>
      </c>
      <c r="D9" s="56" t="s">
        <v>247</v>
      </c>
      <c r="E9" s="62">
        <v>1.0</v>
      </c>
    </row>
    <row r="10">
      <c r="A10" s="56"/>
      <c r="B10" s="56"/>
      <c r="C10" s="56"/>
      <c r="D10" s="56"/>
      <c r="E10" s="62"/>
    </row>
    <row r="11">
      <c r="E11" s="59"/>
    </row>
    <row r="12">
      <c r="E12" s="59"/>
    </row>
    <row r="13">
      <c r="E13" s="59"/>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hyperlinks>
    <hyperlink r:id="rId1" ref="B5"/>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2.57"/>
    <col customWidth="1" min="4" max="4" width="132.43"/>
    <col customWidth="1" min="5" max="26" width="8.71"/>
  </cols>
  <sheetData>
    <row r="1">
      <c r="A1" s="54" t="s">
        <v>54</v>
      </c>
      <c r="B1" s="54" t="s">
        <v>55</v>
      </c>
      <c r="C1" s="54" t="s">
        <v>56</v>
      </c>
      <c r="D1" s="54" t="s">
        <v>57</v>
      </c>
      <c r="E1" s="63" t="s">
        <v>58</v>
      </c>
    </row>
    <row r="2">
      <c r="A2" s="56" t="s">
        <v>248</v>
      </c>
      <c r="B2" s="56" t="s">
        <v>249</v>
      </c>
      <c r="C2" s="56" t="s">
        <v>250</v>
      </c>
      <c r="D2" s="56" t="s">
        <v>251</v>
      </c>
      <c r="E2" s="57">
        <v>1.0</v>
      </c>
    </row>
    <row r="3">
      <c r="A3" s="56" t="s">
        <v>248</v>
      </c>
      <c r="B3" s="56" t="s">
        <v>252</v>
      </c>
      <c r="C3" s="56" t="s">
        <v>253</v>
      </c>
      <c r="D3" s="56" t="s">
        <v>254</v>
      </c>
      <c r="E3" s="57">
        <v>0.0</v>
      </c>
    </row>
    <row r="4">
      <c r="A4" s="56" t="s">
        <v>248</v>
      </c>
      <c r="B4" s="56" t="s">
        <v>255</v>
      </c>
      <c r="C4" s="56" t="s">
        <v>256</v>
      </c>
      <c r="D4" s="56" t="s">
        <v>257</v>
      </c>
      <c r="E4" s="57">
        <v>1.0</v>
      </c>
    </row>
    <row r="5">
      <c r="A5" s="56" t="s">
        <v>248</v>
      </c>
      <c r="B5" s="56" t="s">
        <v>258</v>
      </c>
      <c r="C5" s="56" t="s">
        <v>259</v>
      </c>
      <c r="D5" s="56" t="s">
        <v>260</v>
      </c>
      <c r="E5" s="57">
        <v>1.0</v>
      </c>
    </row>
    <row r="6">
      <c r="A6" s="56" t="s">
        <v>248</v>
      </c>
      <c r="B6" s="56" t="s">
        <v>261</v>
      </c>
      <c r="C6" s="56" t="s">
        <v>262</v>
      </c>
      <c r="D6" s="56" t="s">
        <v>263</v>
      </c>
      <c r="E6" s="57">
        <v>0.0</v>
      </c>
    </row>
    <row r="7">
      <c r="A7" s="56" t="s">
        <v>248</v>
      </c>
      <c r="B7" s="56" t="s">
        <v>264</v>
      </c>
      <c r="C7" s="56" t="s">
        <v>265</v>
      </c>
      <c r="D7" s="56" t="s">
        <v>266</v>
      </c>
      <c r="E7" s="57">
        <v>0.0</v>
      </c>
    </row>
    <row r="8">
      <c r="A8" s="56" t="s">
        <v>248</v>
      </c>
      <c r="B8" s="56" t="s">
        <v>267</v>
      </c>
      <c r="C8" s="56" t="s">
        <v>268</v>
      </c>
      <c r="D8" s="56" t="s">
        <v>269</v>
      </c>
      <c r="E8" s="62">
        <v>-1.0</v>
      </c>
    </row>
    <row r="10">
      <c r="E10" s="59"/>
    </row>
    <row r="11">
      <c r="E11" s="59"/>
    </row>
    <row r="12">
      <c r="E12" s="59"/>
    </row>
    <row r="13">
      <c r="E13" s="59"/>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2.71"/>
    <col customWidth="1" min="3" max="3" width="38.29"/>
    <col customWidth="1" min="4" max="4" width="132.43"/>
    <col customWidth="1" min="5" max="5" width="6.57"/>
    <col customWidth="1" min="6" max="26" width="8.71"/>
  </cols>
  <sheetData>
    <row r="1">
      <c r="A1" s="54" t="s">
        <v>54</v>
      </c>
      <c r="B1" s="54" t="s">
        <v>55</v>
      </c>
      <c r="C1" s="54" t="s">
        <v>56</v>
      </c>
      <c r="D1" s="54" t="s">
        <v>57</v>
      </c>
      <c r="E1" s="63" t="s">
        <v>58</v>
      </c>
    </row>
    <row r="2">
      <c r="A2" s="56" t="s">
        <v>248</v>
      </c>
      <c r="B2" s="56" t="s">
        <v>258</v>
      </c>
      <c r="C2" s="56" t="s">
        <v>259</v>
      </c>
      <c r="D2" s="56" t="s">
        <v>270</v>
      </c>
      <c r="E2" s="57">
        <v>1.0</v>
      </c>
    </row>
    <row r="3">
      <c r="A3" s="56" t="s">
        <v>248</v>
      </c>
      <c r="B3" s="56" t="s">
        <v>271</v>
      </c>
      <c r="C3" s="56" t="s">
        <v>253</v>
      </c>
      <c r="D3" s="56" t="s">
        <v>254</v>
      </c>
      <c r="E3" s="57">
        <v>0.0</v>
      </c>
    </row>
    <row r="4">
      <c r="A4" s="56" t="s">
        <v>248</v>
      </c>
      <c r="B4" s="56" t="s">
        <v>272</v>
      </c>
      <c r="C4" s="56" t="s">
        <v>273</v>
      </c>
      <c r="D4" s="56" t="s">
        <v>274</v>
      </c>
      <c r="E4" s="57">
        <v>-1.0</v>
      </c>
    </row>
    <row r="5">
      <c r="A5" s="56"/>
      <c r="B5" s="56"/>
      <c r="C5" s="56"/>
      <c r="D5" s="56"/>
      <c r="E5" s="57"/>
    </row>
    <row r="6">
      <c r="E6" s="59"/>
    </row>
    <row r="7">
      <c r="E7" s="59"/>
    </row>
    <row r="8">
      <c r="E8" s="59"/>
    </row>
    <row r="9">
      <c r="E9" s="59"/>
    </row>
    <row r="10">
      <c r="E10" s="59"/>
    </row>
    <row r="11">
      <c r="E11" s="59"/>
    </row>
    <row r="12">
      <c r="E12" s="59"/>
    </row>
    <row r="13">
      <c r="E13" s="59"/>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12.14"/>
    <col customWidth="1" min="3" max="3" width="45.86"/>
    <col customWidth="1" min="4" max="4" width="54.86"/>
    <col customWidth="1" min="5" max="5" width="6.43"/>
    <col customWidth="1" min="6" max="26" width="8.71"/>
  </cols>
  <sheetData>
    <row r="1">
      <c r="A1" s="54" t="s">
        <v>54</v>
      </c>
      <c r="B1" s="54" t="s">
        <v>55</v>
      </c>
      <c r="C1" s="54" t="s">
        <v>56</v>
      </c>
      <c r="D1" s="54" t="s">
        <v>57</v>
      </c>
      <c r="E1" s="63" t="s">
        <v>58</v>
      </c>
    </row>
    <row r="2">
      <c r="A2" s="56" t="s">
        <v>275</v>
      </c>
      <c r="B2" s="56" t="s">
        <v>276</v>
      </c>
      <c r="C2" s="56" t="s">
        <v>277</v>
      </c>
      <c r="D2" s="56" t="s">
        <v>278</v>
      </c>
      <c r="E2" s="57">
        <v>1.0</v>
      </c>
    </row>
    <row r="3">
      <c r="A3" s="56" t="s">
        <v>275</v>
      </c>
      <c r="B3" s="56" t="s">
        <v>57</v>
      </c>
      <c r="C3" s="56" t="s">
        <v>93</v>
      </c>
      <c r="D3" s="56" t="s">
        <v>279</v>
      </c>
      <c r="E3" s="57">
        <v>1.0</v>
      </c>
    </row>
    <row r="4">
      <c r="A4" s="56" t="s">
        <v>275</v>
      </c>
      <c r="B4" s="56" t="s">
        <v>280</v>
      </c>
      <c r="C4" s="56" t="s">
        <v>281</v>
      </c>
      <c r="D4" s="56" t="s">
        <v>282</v>
      </c>
      <c r="E4" s="57">
        <v>1.0</v>
      </c>
    </row>
    <row r="5">
      <c r="A5" s="56" t="s">
        <v>275</v>
      </c>
      <c r="B5" s="56" t="s">
        <v>283</v>
      </c>
      <c r="C5" s="56" t="s">
        <v>284</v>
      </c>
      <c r="E5" s="57">
        <v>0.0</v>
      </c>
    </row>
    <row r="6">
      <c r="A6" s="56" t="s">
        <v>275</v>
      </c>
      <c r="B6" s="56" t="s">
        <v>285</v>
      </c>
      <c r="C6" s="56" t="s">
        <v>286</v>
      </c>
      <c r="D6" s="56" t="s">
        <v>287</v>
      </c>
      <c r="E6" s="57">
        <v>0.0</v>
      </c>
    </row>
    <row r="7">
      <c r="A7" s="56" t="s">
        <v>275</v>
      </c>
      <c r="B7" s="56" t="s">
        <v>288</v>
      </c>
      <c r="C7" s="56" t="s">
        <v>289</v>
      </c>
      <c r="D7" s="56" t="s">
        <v>290</v>
      </c>
      <c r="E7" s="57">
        <v>1.0</v>
      </c>
    </row>
    <row r="8">
      <c r="A8" s="56" t="s">
        <v>275</v>
      </c>
      <c r="B8" s="56" t="s">
        <v>291</v>
      </c>
      <c r="C8" s="56" t="s">
        <v>292</v>
      </c>
      <c r="D8" s="56" t="s">
        <v>293</v>
      </c>
      <c r="E8" s="57">
        <v>1.0</v>
      </c>
    </row>
    <row r="9">
      <c r="A9" s="56" t="s">
        <v>275</v>
      </c>
      <c r="B9" s="56" t="s">
        <v>294</v>
      </c>
      <c r="C9" s="56" t="s">
        <v>295</v>
      </c>
      <c r="D9" s="56" t="s">
        <v>296</v>
      </c>
      <c r="E9" s="57">
        <v>1.0</v>
      </c>
    </row>
    <row r="10">
      <c r="A10" s="56" t="s">
        <v>275</v>
      </c>
      <c r="B10" s="56" t="s">
        <v>297</v>
      </c>
      <c r="C10" s="56" t="s">
        <v>298</v>
      </c>
      <c r="D10" s="56" t="s">
        <v>299</v>
      </c>
      <c r="E10" s="57">
        <v>-1.0</v>
      </c>
    </row>
    <row r="11">
      <c r="A11" s="56" t="s">
        <v>275</v>
      </c>
      <c r="B11" s="56" t="s">
        <v>300</v>
      </c>
      <c r="C11" s="56" t="s">
        <v>301</v>
      </c>
      <c r="D11" s="56" t="s">
        <v>302</v>
      </c>
      <c r="E11" s="57">
        <v>1.0</v>
      </c>
    </row>
    <row r="12">
      <c r="E12" s="59"/>
    </row>
    <row r="13">
      <c r="E13" s="59"/>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mergeCells count="1">
    <mergeCell ref="C5:D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8.0"/>
    <col customWidth="1" min="3" max="3" width="38.14"/>
    <col customWidth="1" min="4" max="4" width="124.71"/>
    <col customWidth="1" min="5" max="5" width="6.43"/>
    <col customWidth="1" min="6" max="26" width="8.71"/>
  </cols>
  <sheetData>
    <row r="1">
      <c r="A1" s="54" t="s">
        <v>54</v>
      </c>
      <c r="B1" s="54" t="s">
        <v>55</v>
      </c>
      <c r="C1" s="54" t="s">
        <v>56</v>
      </c>
      <c r="D1" s="54" t="s">
        <v>57</v>
      </c>
      <c r="E1" s="63" t="s">
        <v>58</v>
      </c>
    </row>
    <row r="2">
      <c r="A2" s="56" t="s">
        <v>303</v>
      </c>
      <c r="B2" s="56" t="s">
        <v>304</v>
      </c>
      <c r="C2" s="56" t="s">
        <v>305</v>
      </c>
      <c r="D2" s="56" t="s">
        <v>306</v>
      </c>
      <c r="E2" s="57">
        <v>-1.0</v>
      </c>
    </row>
    <row r="3">
      <c r="A3" s="56" t="s">
        <v>303</v>
      </c>
      <c r="B3" s="56" t="s">
        <v>307</v>
      </c>
      <c r="C3" s="56" t="s">
        <v>308</v>
      </c>
      <c r="D3" s="56" t="s">
        <v>309</v>
      </c>
      <c r="E3" s="57">
        <v>-1.0</v>
      </c>
    </row>
    <row r="4">
      <c r="A4" s="56" t="s">
        <v>303</v>
      </c>
      <c r="B4" s="56" t="s">
        <v>310</v>
      </c>
      <c r="C4" s="56" t="s">
        <v>311</v>
      </c>
      <c r="D4" s="56" t="s">
        <v>312</v>
      </c>
      <c r="E4" s="57">
        <v>0.0</v>
      </c>
    </row>
    <row r="5">
      <c r="A5" s="56" t="s">
        <v>303</v>
      </c>
      <c r="B5" s="56" t="s">
        <v>313</v>
      </c>
      <c r="C5" s="56" t="s">
        <v>314</v>
      </c>
      <c r="D5" s="56" t="s">
        <v>315</v>
      </c>
      <c r="E5" s="57">
        <v>1.0</v>
      </c>
    </row>
    <row r="6">
      <c r="A6" s="56" t="s">
        <v>303</v>
      </c>
      <c r="B6" s="56" t="s">
        <v>316</v>
      </c>
      <c r="C6" s="56" t="s">
        <v>317</v>
      </c>
      <c r="D6" s="56" t="s">
        <v>318</v>
      </c>
      <c r="E6" s="57">
        <v>0.0</v>
      </c>
    </row>
    <row r="7">
      <c r="A7" s="56" t="s">
        <v>303</v>
      </c>
      <c r="B7" s="56" t="s">
        <v>319</v>
      </c>
      <c r="C7" s="56" t="s">
        <v>320</v>
      </c>
      <c r="D7" s="56" t="s">
        <v>321</v>
      </c>
      <c r="E7" s="57">
        <v>1.0</v>
      </c>
    </row>
    <row r="8">
      <c r="A8" s="56" t="s">
        <v>303</v>
      </c>
      <c r="B8" s="56" t="s">
        <v>322</v>
      </c>
      <c r="C8" s="56" t="s">
        <v>323</v>
      </c>
      <c r="D8" s="56" t="s">
        <v>324</v>
      </c>
      <c r="E8" s="57">
        <v>0.0</v>
      </c>
    </row>
    <row r="9">
      <c r="A9" s="56" t="s">
        <v>303</v>
      </c>
      <c r="B9" s="56" t="s">
        <v>325</v>
      </c>
      <c r="C9" s="56" t="s">
        <v>326</v>
      </c>
      <c r="D9" s="56" t="s">
        <v>327</v>
      </c>
      <c r="E9" s="57">
        <v>-1.0</v>
      </c>
    </row>
    <row r="10">
      <c r="A10" s="56" t="s">
        <v>303</v>
      </c>
      <c r="B10" s="56" t="s">
        <v>328</v>
      </c>
      <c r="C10" s="56" t="s">
        <v>329</v>
      </c>
      <c r="D10" s="56" t="s">
        <v>330</v>
      </c>
      <c r="E10" s="57">
        <v>-1.0</v>
      </c>
    </row>
    <row r="11">
      <c r="A11" s="56" t="s">
        <v>303</v>
      </c>
      <c r="B11" s="56" t="s">
        <v>331</v>
      </c>
      <c r="C11" s="56" t="s">
        <v>332</v>
      </c>
      <c r="D11" s="56" t="s">
        <v>333</v>
      </c>
      <c r="E11" s="57">
        <v>0.0</v>
      </c>
    </row>
    <row r="12">
      <c r="A12" s="56" t="s">
        <v>303</v>
      </c>
      <c r="B12" s="56" t="s">
        <v>334</v>
      </c>
      <c r="C12" s="56" t="s">
        <v>335</v>
      </c>
      <c r="D12" s="56" t="s">
        <v>336</v>
      </c>
      <c r="E12" s="57">
        <v>-1.0</v>
      </c>
    </row>
    <row r="13">
      <c r="A13" s="56" t="s">
        <v>303</v>
      </c>
      <c r="B13" s="56" t="s">
        <v>337</v>
      </c>
      <c r="C13" s="56" t="s">
        <v>338</v>
      </c>
      <c r="D13" s="56" t="s">
        <v>339</v>
      </c>
      <c r="E13" s="57">
        <v>-1.0</v>
      </c>
    </row>
    <row r="14">
      <c r="A14" s="56"/>
      <c r="B14" s="56"/>
      <c r="C14" s="56"/>
      <c r="D14" s="56"/>
      <c r="E14" s="57"/>
    </row>
    <row r="15">
      <c r="A15" s="56"/>
      <c r="B15" s="56"/>
      <c r="C15" s="56"/>
      <c r="D15" s="56"/>
      <c r="E15" s="57"/>
    </row>
    <row r="16">
      <c r="A16" s="56"/>
      <c r="B16" s="56"/>
      <c r="C16" s="56"/>
      <c r="D16" s="56"/>
      <c r="E16" s="62"/>
    </row>
    <row r="17">
      <c r="A17" s="64"/>
      <c r="B17" s="64"/>
      <c r="C17" s="64"/>
      <c r="D17" s="64"/>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86"/>
    <col customWidth="1" min="3" max="3" width="50.86"/>
    <col customWidth="1" min="4" max="4" width="89.29"/>
    <col customWidth="1" min="5" max="26" width="8.71"/>
  </cols>
  <sheetData>
    <row r="1">
      <c r="A1" s="54" t="s">
        <v>54</v>
      </c>
      <c r="B1" s="54" t="s">
        <v>55</v>
      </c>
      <c r="C1" s="54" t="s">
        <v>56</v>
      </c>
      <c r="D1" s="54" t="s">
        <v>57</v>
      </c>
      <c r="E1" s="63" t="s">
        <v>58</v>
      </c>
    </row>
    <row r="2">
      <c r="A2" s="56" t="s">
        <v>340</v>
      </c>
      <c r="B2" s="56" t="s">
        <v>341</v>
      </c>
      <c r="C2" s="56" t="s">
        <v>342</v>
      </c>
      <c r="D2" s="56" t="s">
        <v>343</v>
      </c>
      <c r="E2" s="57">
        <v>0.0</v>
      </c>
    </row>
    <row r="3">
      <c r="A3" s="56" t="s">
        <v>340</v>
      </c>
      <c r="B3" s="56" t="s">
        <v>304</v>
      </c>
      <c r="C3" s="56" t="s">
        <v>305</v>
      </c>
      <c r="D3" s="56" t="s">
        <v>306</v>
      </c>
      <c r="E3" s="57">
        <v>-1.0</v>
      </c>
    </row>
    <row r="4">
      <c r="A4" s="56" t="s">
        <v>340</v>
      </c>
      <c r="B4" s="56" t="s">
        <v>307</v>
      </c>
      <c r="C4" s="56" t="s">
        <v>308</v>
      </c>
      <c r="D4" s="56" t="s">
        <v>309</v>
      </c>
      <c r="E4" s="57">
        <v>0.0</v>
      </c>
    </row>
    <row r="5">
      <c r="A5" s="56" t="s">
        <v>340</v>
      </c>
      <c r="B5" s="56" t="s">
        <v>310</v>
      </c>
      <c r="C5" s="56" t="s">
        <v>311</v>
      </c>
      <c r="D5" s="56" t="s">
        <v>312</v>
      </c>
      <c r="E5" s="57">
        <v>0.0</v>
      </c>
    </row>
    <row r="6">
      <c r="A6" s="56" t="s">
        <v>340</v>
      </c>
      <c r="B6" s="56" t="s">
        <v>316</v>
      </c>
      <c r="C6" s="56" t="s">
        <v>317</v>
      </c>
      <c r="D6" s="56" t="s">
        <v>344</v>
      </c>
      <c r="E6" s="57">
        <v>-1.0</v>
      </c>
    </row>
    <row r="7">
      <c r="A7" s="56" t="s">
        <v>340</v>
      </c>
      <c r="B7" s="61" t="s">
        <v>345</v>
      </c>
      <c r="C7" s="56" t="s">
        <v>346</v>
      </c>
      <c r="D7" s="56" t="s">
        <v>347</v>
      </c>
      <c r="E7" s="57">
        <v>0.0</v>
      </c>
    </row>
    <row r="8">
      <c r="A8" s="56" t="s">
        <v>340</v>
      </c>
      <c r="B8" s="56" t="s">
        <v>348</v>
      </c>
      <c r="C8" s="56" t="s">
        <v>349</v>
      </c>
      <c r="D8" s="56" t="s">
        <v>350</v>
      </c>
      <c r="E8" s="57">
        <v>0.0</v>
      </c>
    </row>
    <row r="9">
      <c r="A9" s="56" t="s">
        <v>340</v>
      </c>
      <c r="B9" s="56" t="s">
        <v>322</v>
      </c>
      <c r="C9" s="56" t="s">
        <v>351</v>
      </c>
      <c r="D9" s="56" t="s">
        <v>352</v>
      </c>
      <c r="E9" s="57">
        <v>0.0</v>
      </c>
    </row>
    <row r="10">
      <c r="A10" s="56" t="s">
        <v>340</v>
      </c>
      <c r="B10" s="56" t="s">
        <v>353</v>
      </c>
      <c r="C10" s="56" t="s">
        <v>354</v>
      </c>
      <c r="D10" s="56" t="s">
        <v>355</v>
      </c>
      <c r="E10" s="57">
        <v>0.0</v>
      </c>
    </row>
    <row r="11">
      <c r="A11" s="56" t="s">
        <v>340</v>
      </c>
      <c r="B11" s="56" t="s">
        <v>328</v>
      </c>
      <c r="C11" s="56" t="s">
        <v>329</v>
      </c>
      <c r="D11" s="56" t="s">
        <v>330</v>
      </c>
      <c r="E11" s="57">
        <v>0.0</v>
      </c>
    </row>
    <row r="12">
      <c r="A12" s="56" t="s">
        <v>340</v>
      </c>
      <c r="B12" s="56" t="s">
        <v>331</v>
      </c>
      <c r="C12" s="56" t="s">
        <v>332</v>
      </c>
      <c r="D12" s="56" t="s">
        <v>356</v>
      </c>
      <c r="E12" s="57">
        <v>-1.0</v>
      </c>
    </row>
    <row r="13">
      <c r="A13" s="56" t="s">
        <v>340</v>
      </c>
      <c r="B13" s="56" t="s">
        <v>334</v>
      </c>
      <c r="C13" s="56" t="s">
        <v>335</v>
      </c>
      <c r="D13" s="56" t="s">
        <v>336</v>
      </c>
      <c r="E13" s="56">
        <v>0.0</v>
      </c>
    </row>
    <row r="14">
      <c r="E14" s="59"/>
    </row>
    <row r="15">
      <c r="E15" s="59"/>
    </row>
    <row r="16">
      <c r="E16" s="59"/>
    </row>
    <row r="17">
      <c r="E17" s="59"/>
    </row>
    <row r="18">
      <c r="E18" s="59"/>
    </row>
    <row r="19">
      <c r="E19" s="59"/>
    </row>
    <row r="20">
      <c r="E20" s="59"/>
    </row>
    <row r="21" ht="15.75" customHeight="1">
      <c r="E21" s="59"/>
    </row>
    <row r="22" ht="15.75" customHeight="1">
      <c r="E22" s="59"/>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hyperlinks>
    <hyperlink r:id="rId1" ref="B7"/>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28.71"/>
    <col customWidth="1" min="3" max="3" width="47.14"/>
    <col customWidth="1" min="4" max="4" width="81.0"/>
    <col customWidth="1" min="5" max="26" width="8.71"/>
  </cols>
  <sheetData>
    <row r="1">
      <c r="A1" s="54" t="s">
        <v>54</v>
      </c>
      <c r="B1" s="54" t="s">
        <v>55</v>
      </c>
      <c r="C1" s="54" t="s">
        <v>56</v>
      </c>
      <c r="D1" s="54" t="s">
        <v>57</v>
      </c>
      <c r="E1" s="63" t="s">
        <v>357</v>
      </c>
    </row>
    <row r="2">
      <c r="A2" s="56" t="s">
        <v>358</v>
      </c>
      <c r="B2" s="56" t="s">
        <v>359</v>
      </c>
      <c r="C2" s="56" t="s">
        <v>243</v>
      </c>
      <c r="D2" s="56" t="s">
        <v>360</v>
      </c>
      <c r="E2" s="57">
        <v>0.0</v>
      </c>
    </row>
    <row r="21" ht="15.75" customHeight="1"/>
    <row r="22" ht="15.75" customHeight="1"/>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77.71"/>
    <col customWidth="1" min="4" max="4" width="127.43"/>
    <col customWidth="1" min="5" max="26" width="8.71"/>
  </cols>
  <sheetData>
    <row r="1">
      <c r="A1" s="54" t="s">
        <v>54</v>
      </c>
      <c r="B1" s="54" t="s">
        <v>55</v>
      </c>
      <c r="C1" s="54" t="s">
        <v>56</v>
      </c>
      <c r="D1" s="54" t="s">
        <v>57</v>
      </c>
      <c r="E1" s="63" t="s">
        <v>58</v>
      </c>
    </row>
    <row r="2">
      <c r="A2" s="56" t="s">
        <v>361</v>
      </c>
      <c r="B2" s="56" t="s">
        <v>362</v>
      </c>
      <c r="C2" s="56" t="s">
        <v>363</v>
      </c>
      <c r="D2" s="56" t="s">
        <v>364</v>
      </c>
      <c r="E2" s="57">
        <v>0.0</v>
      </c>
    </row>
    <row r="3">
      <c r="A3" s="56" t="s">
        <v>361</v>
      </c>
      <c r="B3" s="56" t="s">
        <v>365</v>
      </c>
      <c r="C3" s="56" t="s">
        <v>366</v>
      </c>
      <c r="D3" s="56" t="s">
        <v>367</v>
      </c>
      <c r="E3" s="57">
        <v>0.0</v>
      </c>
    </row>
    <row r="4">
      <c r="A4" s="56" t="s">
        <v>361</v>
      </c>
      <c r="B4" s="56" t="s">
        <v>368</v>
      </c>
      <c r="C4" s="56" t="s">
        <v>369</v>
      </c>
      <c r="D4" s="56" t="s">
        <v>370</v>
      </c>
      <c r="E4" s="57">
        <v>0.0</v>
      </c>
    </row>
    <row r="5">
      <c r="A5" s="56" t="s">
        <v>361</v>
      </c>
      <c r="B5" s="56" t="s">
        <v>371</v>
      </c>
      <c r="C5" s="56" t="s">
        <v>372</v>
      </c>
      <c r="D5" s="56" t="s">
        <v>373</v>
      </c>
      <c r="E5" s="57">
        <v>1.0</v>
      </c>
    </row>
    <row r="6">
      <c r="A6" s="56" t="s">
        <v>361</v>
      </c>
      <c r="B6" s="56" t="s">
        <v>374</v>
      </c>
      <c r="C6" s="56" t="s">
        <v>375</v>
      </c>
      <c r="D6" s="56" t="s">
        <v>376</v>
      </c>
      <c r="E6" s="57">
        <v>1.0</v>
      </c>
    </row>
    <row r="7">
      <c r="A7" s="56" t="s">
        <v>361</v>
      </c>
      <c r="B7" s="56" t="s">
        <v>377</v>
      </c>
      <c r="C7" s="56" t="s">
        <v>378</v>
      </c>
      <c r="D7" s="56" t="s">
        <v>379</v>
      </c>
      <c r="E7" s="57">
        <v>1.0</v>
      </c>
    </row>
    <row r="8">
      <c r="A8" s="56" t="s">
        <v>361</v>
      </c>
      <c r="B8" s="56" t="s">
        <v>380</v>
      </c>
      <c r="C8" s="56" t="s">
        <v>381</v>
      </c>
      <c r="D8" s="56" t="s">
        <v>382</v>
      </c>
      <c r="E8" s="57">
        <v>0.0</v>
      </c>
    </row>
    <row r="9">
      <c r="A9" s="56" t="s">
        <v>361</v>
      </c>
      <c r="B9" s="56" t="s">
        <v>383</v>
      </c>
      <c r="C9" s="56" t="s">
        <v>384</v>
      </c>
      <c r="D9" s="56" t="s">
        <v>385</v>
      </c>
      <c r="E9" s="57">
        <v>0.0</v>
      </c>
    </row>
    <row r="10">
      <c r="A10" s="56" t="s">
        <v>361</v>
      </c>
      <c r="B10" s="56" t="s">
        <v>386</v>
      </c>
      <c r="C10" s="56" t="s">
        <v>387</v>
      </c>
      <c r="D10" s="56" t="s">
        <v>388</v>
      </c>
      <c r="E10" s="57">
        <v>1.0</v>
      </c>
    </row>
    <row r="11">
      <c r="A11" s="56" t="s">
        <v>361</v>
      </c>
      <c r="B11" s="56" t="s">
        <v>389</v>
      </c>
      <c r="C11" s="56" t="s">
        <v>390</v>
      </c>
      <c r="D11" s="56" t="s">
        <v>391</v>
      </c>
      <c r="E11" s="57">
        <v>0.0</v>
      </c>
    </row>
    <row r="12" ht="96.75" customHeight="1">
      <c r="A12" s="56" t="s">
        <v>361</v>
      </c>
      <c r="B12" s="56" t="s">
        <v>392</v>
      </c>
      <c r="C12" s="56" t="s">
        <v>393</v>
      </c>
      <c r="D12" s="56" t="s">
        <v>394</v>
      </c>
      <c r="E12" s="57">
        <v>1.0</v>
      </c>
    </row>
    <row r="13">
      <c r="A13" s="56" t="s">
        <v>361</v>
      </c>
      <c r="B13" s="56" t="s">
        <v>395</v>
      </c>
      <c r="C13" s="56" t="s">
        <v>396</v>
      </c>
      <c r="D13" s="56" t="s">
        <v>397</v>
      </c>
      <c r="E13" s="57">
        <v>0.0</v>
      </c>
    </row>
    <row r="14">
      <c r="A14" s="56" t="s">
        <v>361</v>
      </c>
      <c r="B14" s="56" t="s">
        <v>398</v>
      </c>
      <c r="C14" s="56" t="s">
        <v>399</v>
      </c>
      <c r="D14" s="56" t="s">
        <v>400</v>
      </c>
      <c r="E14" s="57">
        <v>0.0</v>
      </c>
    </row>
    <row r="15">
      <c r="A15" s="56" t="s">
        <v>361</v>
      </c>
      <c r="B15" s="56" t="s">
        <v>401</v>
      </c>
      <c r="C15" s="56" t="s">
        <v>402</v>
      </c>
      <c r="D15" s="56" t="s">
        <v>403</v>
      </c>
      <c r="E15" s="57">
        <v>0.0</v>
      </c>
    </row>
    <row r="16">
      <c r="A16" s="56" t="s">
        <v>361</v>
      </c>
      <c r="B16" s="56" t="s">
        <v>404</v>
      </c>
      <c r="C16" s="56" t="s">
        <v>405</v>
      </c>
      <c r="D16" s="56" t="s">
        <v>406</v>
      </c>
      <c r="E16" s="57">
        <v>1.0</v>
      </c>
    </row>
    <row r="17">
      <c r="A17" s="56"/>
      <c r="B17" s="56"/>
      <c r="C17" s="56"/>
      <c r="D17" s="56"/>
      <c r="E17" s="57"/>
    </row>
    <row r="18">
      <c r="A18" s="56"/>
      <c r="B18" s="56"/>
      <c r="C18" s="56"/>
      <c r="D18" s="56"/>
      <c r="E18" s="57"/>
    </row>
    <row r="19">
      <c r="A19" s="56"/>
      <c r="B19" s="56"/>
      <c r="C19" s="56"/>
      <c r="D19" s="56"/>
      <c r="E19" s="57"/>
    </row>
    <row r="20">
      <c r="A20" s="56"/>
      <c r="B20" s="56"/>
      <c r="C20" s="56"/>
      <c r="D20" s="56"/>
      <c r="E20" s="57"/>
    </row>
    <row r="21" ht="15.75" customHeight="1">
      <c r="A21" s="56"/>
      <c r="B21" s="56"/>
      <c r="C21" s="56"/>
      <c r="D21" s="56"/>
      <c r="E21" s="57"/>
    </row>
    <row r="22" ht="15.75" customHeight="1">
      <c r="A22" s="56"/>
      <c r="B22" s="56"/>
      <c r="C22" s="56"/>
      <c r="D22" s="56"/>
      <c r="E22" s="57"/>
    </row>
    <row r="23" ht="15.75" customHeight="1">
      <c r="E23" s="59"/>
    </row>
    <row r="24" ht="15.75" customHeight="1">
      <c r="E24" s="59"/>
    </row>
    <row r="25" ht="15.75" customHeight="1">
      <c r="E25" s="59"/>
    </row>
    <row r="26" ht="15.75" customHeight="1">
      <c r="E26" s="59"/>
    </row>
    <row r="27" ht="15.75" customHeight="1">
      <c r="E27" s="59"/>
    </row>
    <row r="28" ht="15.75" customHeight="1">
      <c r="E28" s="59"/>
    </row>
    <row r="29" ht="15.75" customHeight="1">
      <c r="E29" s="59"/>
    </row>
    <row r="30" ht="15.75" customHeight="1">
      <c r="E30" s="59"/>
    </row>
    <row r="31" ht="15.75" customHeight="1">
      <c r="E31" s="59"/>
    </row>
    <row r="32" ht="15.75" customHeight="1">
      <c r="E32" s="59"/>
    </row>
    <row r="33" ht="15.75" customHeight="1">
      <c r="E33" s="59"/>
    </row>
    <row r="34" ht="15.75" customHeight="1">
      <c r="E34" s="59"/>
    </row>
    <row r="35" ht="15.75" customHeight="1">
      <c r="E35" s="59"/>
    </row>
    <row r="36" ht="15.75" customHeight="1">
      <c r="E36" s="59"/>
    </row>
    <row r="37" ht="15.75" customHeight="1">
      <c r="E37" s="59"/>
    </row>
    <row r="38" ht="15.75" customHeight="1">
      <c r="E38" s="59"/>
    </row>
    <row r="39" ht="15.75" customHeight="1">
      <c r="E39" s="59"/>
    </row>
    <row r="40" ht="15.75" customHeight="1">
      <c r="E40" s="59"/>
    </row>
    <row r="41" ht="15.75" customHeight="1">
      <c r="E41" s="59"/>
    </row>
    <row r="42" ht="15.75" customHeight="1">
      <c r="E42" s="59"/>
    </row>
    <row r="43" ht="15.75" customHeight="1">
      <c r="E43" s="59"/>
    </row>
    <row r="44" ht="15.75" customHeight="1">
      <c r="E44" s="59"/>
    </row>
    <row r="45" ht="15.75" customHeight="1">
      <c r="E45" s="59"/>
    </row>
    <row r="46" ht="15.75" customHeight="1">
      <c r="E46" s="59"/>
    </row>
    <row r="47" ht="15.75" customHeight="1">
      <c r="E47" s="59"/>
    </row>
    <row r="48" ht="15.75" customHeight="1">
      <c r="E48" s="59"/>
    </row>
    <row r="49" ht="15.75" customHeight="1">
      <c r="E49" s="59"/>
    </row>
    <row r="50" ht="15.75" customHeight="1">
      <c r="E50" s="59"/>
    </row>
    <row r="51" ht="15.75" customHeight="1">
      <c r="E51" s="59"/>
    </row>
    <row r="52" ht="15.75" customHeight="1">
      <c r="E52" s="59"/>
    </row>
    <row r="53" ht="15.75" customHeight="1">
      <c r="E53" s="59"/>
    </row>
    <row r="54" ht="15.75" customHeight="1">
      <c r="E54" s="59"/>
    </row>
    <row r="55" ht="15.75" customHeight="1">
      <c r="E55" s="59"/>
    </row>
    <row r="56" ht="15.75" customHeight="1">
      <c r="E56" s="59"/>
    </row>
    <row r="57" ht="15.75" customHeight="1">
      <c r="E57" s="59"/>
    </row>
    <row r="58" ht="15.75" customHeight="1">
      <c r="E58" s="59"/>
    </row>
    <row r="59" ht="15.75" customHeight="1">
      <c r="E59" s="59"/>
    </row>
    <row r="60" ht="15.75" customHeight="1">
      <c r="E60" s="59"/>
    </row>
    <row r="61" ht="15.75" customHeight="1">
      <c r="E61" s="59"/>
    </row>
    <row r="62" ht="15.75" customHeight="1">
      <c r="E62" s="59"/>
    </row>
    <row r="63" ht="15.75" customHeight="1">
      <c r="E63" s="59"/>
    </row>
    <row r="64" ht="15.75" customHeight="1">
      <c r="E64" s="59"/>
    </row>
    <row r="65" ht="15.75" customHeight="1">
      <c r="E65" s="59"/>
    </row>
    <row r="66" ht="15.75" customHeight="1">
      <c r="E66" s="59"/>
    </row>
    <row r="67" ht="15.75" customHeight="1">
      <c r="E67" s="59"/>
    </row>
    <row r="68" ht="15.75" customHeight="1">
      <c r="E68" s="59"/>
    </row>
    <row r="69" ht="15.75" customHeight="1">
      <c r="E69" s="59"/>
    </row>
    <row r="70" ht="15.75" customHeight="1">
      <c r="E70" s="59"/>
    </row>
    <row r="71" ht="15.75" customHeight="1">
      <c r="E71" s="59"/>
    </row>
    <row r="72" ht="15.75" customHeight="1">
      <c r="E72" s="59"/>
    </row>
    <row r="73" ht="15.75" customHeight="1">
      <c r="E73" s="59"/>
    </row>
    <row r="74" ht="15.75" customHeight="1">
      <c r="E74" s="59"/>
    </row>
    <row r="75" ht="15.75" customHeight="1">
      <c r="E75" s="59"/>
    </row>
    <row r="76" ht="15.75" customHeight="1">
      <c r="E76" s="59"/>
    </row>
    <row r="77" ht="15.75" customHeight="1">
      <c r="E77" s="59"/>
    </row>
    <row r="78" ht="15.75" customHeight="1">
      <c r="E78" s="59"/>
    </row>
    <row r="79" ht="15.75" customHeight="1">
      <c r="E79" s="59"/>
    </row>
    <row r="80" ht="15.75" customHeight="1">
      <c r="E80" s="59"/>
    </row>
    <row r="81" ht="15.75" customHeight="1">
      <c r="E81" s="59"/>
    </row>
    <row r="82" ht="15.75" customHeight="1">
      <c r="E82" s="59"/>
    </row>
    <row r="83" ht="15.75" customHeight="1">
      <c r="E83" s="59"/>
    </row>
    <row r="84" ht="15.75" customHeight="1">
      <c r="E84" s="59"/>
    </row>
    <row r="85" ht="15.75" customHeight="1">
      <c r="E85" s="59"/>
    </row>
    <row r="86" ht="15.75" customHeight="1">
      <c r="E86" s="59"/>
    </row>
    <row r="87" ht="15.75" customHeight="1">
      <c r="E87" s="59"/>
    </row>
    <row r="88" ht="15.75" customHeight="1">
      <c r="E88" s="59"/>
    </row>
    <row r="89" ht="15.75" customHeight="1">
      <c r="E89" s="59"/>
    </row>
    <row r="90" ht="15.75" customHeight="1">
      <c r="E90" s="59"/>
    </row>
    <row r="91" ht="15.75" customHeight="1">
      <c r="E91" s="59"/>
    </row>
    <row r="92" ht="15.75" customHeight="1">
      <c r="E92" s="59"/>
    </row>
    <row r="93" ht="15.75" customHeight="1">
      <c r="E93" s="59"/>
    </row>
    <row r="94" ht="15.75" customHeight="1">
      <c r="E94" s="59"/>
    </row>
    <row r="95" ht="15.75" customHeight="1">
      <c r="E95" s="59"/>
    </row>
    <row r="96" ht="15.75" customHeight="1">
      <c r="E96" s="59"/>
    </row>
    <row r="97" ht="15.75" customHeight="1">
      <c r="E97" s="59"/>
    </row>
    <row r="98" ht="15.75" customHeight="1">
      <c r="E98" s="59"/>
    </row>
    <row r="99" ht="15.75" customHeight="1">
      <c r="E99" s="59"/>
    </row>
    <row r="100" ht="15.75" customHeight="1">
      <c r="E100" s="59"/>
    </row>
    <row r="101" ht="15.75" customHeight="1">
      <c r="E101" s="59"/>
    </row>
    <row r="102" ht="15.75" customHeight="1">
      <c r="E102" s="59"/>
    </row>
    <row r="103" ht="15.75" customHeight="1">
      <c r="E103" s="59"/>
    </row>
    <row r="104" ht="15.75" customHeight="1">
      <c r="E104" s="59"/>
    </row>
    <row r="105" ht="15.75" customHeight="1">
      <c r="E105" s="59"/>
    </row>
    <row r="106" ht="15.75" customHeight="1">
      <c r="E106" s="59"/>
    </row>
    <row r="107" ht="15.75" customHeight="1">
      <c r="E107" s="59"/>
    </row>
    <row r="108" ht="15.75" customHeight="1">
      <c r="E108" s="59"/>
    </row>
    <row r="109" ht="15.75" customHeight="1">
      <c r="E109" s="59"/>
    </row>
    <row r="110" ht="15.75" customHeight="1">
      <c r="E110" s="59"/>
    </row>
    <row r="111" ht="15.75" customHeight="1">
      <c r="E111" s="59"/>
    </row>
    <row r="112" ht="15.75" customHeight="1">
      <c r="E112" s="59"/>
    </row>
    <row r="113" ht="15.75" customHeight="1">
      <c r="E113" s="59"/>
    </row>
    <row r="114" ht="15.75" customHeight="1">
      <c r="E114" s="59"/>
    </row>
    <row r="115" ht="15.75" customHeight="1">
      <c r="E115" s="59"/>
    </row>
    <row r="116" ht="15.75" customHeight="1">
      <c r="E116" s="59"/>
    </row>
    <row r="117" ht="15.75" customHeight="1">
      <c r="E117" s="59"/>
    </row>
    <row r="118" ht="15.75" customHeight="1">
      <c r="E118" s="59"/>
    </row>
    <row r="119" ht="15.75" customHeight="1">
      <c r="E119" s="59"/>
    </row>
    <row r="120" ht="15.75" customHeight="1">
      <c r="E120" s="59"/>
    </row>
    <row r="121" ht="15.75" customHeight="1">
      <c r="E121" s="59"/>
    </row>
    <row r="122" ht="15.75" customHeight="1">
      <c r="E122" s="59"/>
    </row>
    <row r="123" ht="15.75" customHeight="1">
      <c r="E123" s="59"/>
    </row>
    <row r="124" ht="15.75" customHeight="1">
      <c r="E124" s="59"/>
    </row>
    <row r="125" ht="15.75" customHeight="1">
      <c r="E125" s="59"/>
    </row>
    <row r="126" ht="15.75" customHeight="1">
      <c r="E126" s="59"/>
    </row>
    <row r="127" ht="15.75" customHeight="1">
      <c r="E127" s="59"/>
    </row>
    <row r="128" ht="15.75" customHeight="1">
      <c r="E128" s="59"/>
    </row>
    <row r="129" ht="15.75" customHeight="1">
      <c r="E129" s="59"/>
    </row>
    <row r="130" ht="15.75" customHeight="1">
      <c r="E130" s="59"/>
    </row>
    <row r="131" ht="15.75" customHeight="1">
      <c r="E131" s="59"/>
    </row>
    <row r="132" ht="15.75" customHeight="1">
      <c r="E132" s="59"/>
    </row>
    <row r="133" ht="15.75" customHeight="1">
      <c r="E133" s="59"/>
    </row>
    <row r="134" ht="15.75" customHeight="1">
      <c r="E134" s="59"/>
    </row>
    <row r="135" ht="15.75" customHeight="1">
      <c r="E135" s="59"/>
    </row>
    <row r="136" ht="15.75" customHeight="1">
      <c r="E136" s="59"/>
    </row>
    <row r="137" ht="15.75" customHeight="1">
      <c r="E137" s="59"/>
    </row>
    <row r="138" ht="15.75" customHeight="1">
      <c r="E138" s="59"/>
    </row>
    <row r="139" ht="15.75" customHeight="1">
      <c r="E139" s="59"/>
    </row>
    <row r="140" ht="15.75" customHeight="1">
      <c r="E140" s="59"/>
    </row>
    <row r="141" ht="15.75" customHeight="1">
      <c r="E141" s="59"/>
    </row>
    <row r="142" ht="15.75" customHeight="1">
      <c r="E142" s="59"/>
    </row>
    <row r="143" ht="15.75" customHeight="1">
      <c r="E143" s="59"/>
    </row>
    <row r="144" ht="15.75" customHeight="1">
      <c r="E144" s="59"/>
    </row>
    <row r="145" ht="15.75" customHeight="1">
      <c r="E145" s="59"/>
    </row>
    <row r="146" ht="15.75" customHeight="1">
      <c r="E146" s="59"/>
    </row>
    <row r="147" ht="15.75" customHeight="1">
      <c r="E147" s="59"/>
    </row>
    <row r="148" ht="15.75" customHeight="1">
      <c r="E148" s="59"/>
    </row>
    <row r="149" ht="15.75" customHeight="1">
      <c r="E149" s="59"/>
    </row>
    <row r="150" ht="15.75" customHeight="1">
      <c r="E150" s="59"/>
    </row>
    <row r="151" ht="15.75" customHeight="1">
      <c r="E151" s="59"/>
    </row>
    <row r="152" ht="15.75" customHeight="1">
      <c r="E152" s="59"/>
    </row>
    <row r="153" ht="15.75" customHeight="1">
      <c r="E153" s="59"/>
    </row>
    <row r="154" ht="15.75" customHeight="1">
      <c r="E154" s="59"/>
    </row>
    <row r="155" ht="15.75" customHeight="1">
      <c r="E155" s="59"/>
    </row>
    <row r="156" ht="15.75" customHeight="1">
      <c r="E156" s="59"/>
    </row>
    <row r="157" ht="15.75" customHeight="1">
      <c r="E157" s="59"/>
    </row>
    <row r="158" ht="15.75" customHeight="1">
      <c r="E158" s="59"/>
    </row>
    <row r="159" ht="15.75" customHeight="1">
      <c r="E159" s="59"/>
    </row>
    <row r="160" ht="15.75" customHeight="1">
      <c r="E160" s="59"/>
    </row>
    <row r="161" ht="15.75" customHeight="1">
      <c r="E161" s="59"/>
    </row>
    <row r="162" ht="15.75" customHeight="1">
      <c r="E162" s="59"/>
    </row>
    <row r="163" ht="15.75" customHeight="1">
      <c r="E163" s="59"/>
    </row>
    <row r="164" ht="15.75" customHeight="1">
      <c r="E164" s="59"/>
    </row>
    <row r="165" ht="15.75" customHeight="1">
      <c r="E165" s="59"/>
    </row>
    <row r="166" ht="15.75" customHeight="1">
      <c r="E166" s="59"/>
    </row>
    <row r="167" ht="15.75" customHeight="1">
      <c r="E167" s="59"/>
    </row>
    <row r="168" ht="15.75" customHeight="1">
      <c r="E168" s="59"/>
    </row>
    <row r="169" ht="15.75" customHeight="1">
      <c r="E169" s="59"/>
    </row>
    <row r="170" ht="15.75" customHeight="1">
      <c r="E170" s="59"/>
    </row>
    <row r="171" ht="15.75" customHeight="1">
      <c r="E171" s="59"/>
    </row>
    <row r="172" ht="15.75" customHeight="1">
      <c r="E172" s="59"/>
    </row>
    <row r="173" ht="15.75" customHeight="1">
      <c r="E173" s="59"/>
    </row>
    <row r="174" ht="15.75" customHeight="1">
      <c r="E174" s="59"/>
    </row>
    <row r="175" ht="15.75" customHeight="1">
      <c r="E175" s="59"/>
    </row>
    <row r="176" ht="15.75" customHeight="1">
      <c r="E176" s="59"/>
    </row>
    <row r="177" ht="15.75" customHeight="1">
      <c r="E177" s="59"/>
    </row>
    <row r="178" ht="15.75" customHeight="1">
      <c r="E178" s="59"/>
    </row>
    <row r="179" ht="15.75" customHeight="1">
      <c r="E179" s="59"/>
    </row>
    <row r="180" ht="15.75" customHeight="1">
      <c r="E180" s="59"/>
    </row>
    <row r="181" ht="15.75" customHeight="1">
      <c r="E181" s="59"/>
    </row>
    <row r="182" ht="15.75" customHeight="1">
      <c r="E182" s="59"/>
    </row>
    <row r="183" ht="15.75" customHeight="1">
      <c r="E183" s="59"/>
    </row>
    <row r="184" ht="15.75" customHeight="1">
      <c r="E184" s="59"/>
    </row>
    <row r="185" ht="15.75" customHeight="1">
      <c r="E185" s="59"/>
    </row>
    <row r="186" ht="15.75" customHeight="1">
      <c r="E186" s="59"/>
    </row>
    <row r="187" ht="15.75" customHeight="1">
      <c r="E187" s="59"/>
    </row>
    <row r="188" ht="15.75" customHeight="1">
      <c r="E188" s="59"/>
    </row>
    <row r="189" ht="15.75" customHeight="1">
      <c r="E189" s="59"/>
    </row>
    <row r="190" ht="15.75" customHeight="1">
      <c r="E190" s="59"/>
    </row>
    <row r="191" ht="15.75" customHeight="1">
      <c r="E191" s="59"/>
    </row>
    <row r="192" ht="15.75" customHeight="1">
      <c r="E192" s="59"/>
    </row>
    <row r="193" ht="15.75" customHeight="1">
      <c r="E193" s="59"/>
    </row>
    <row r="194" ht="15.75" customHeight="1">
      <c r="E194" s="59"/>
    </row>
    <row r="195" ht="15.75" customHeight="1">
      <c r="E195" s="59"/>
    </row>
    <row r="196" ht="15.75" customHeight="1">
      <c r="E196" s="59"/>
    </row>
    <row r="197" ht="15.75" customHeight="1">
      <c r="E197" s="59"/>
    </row>
    <row r="198" ht="15.75" customHeight="1">
      <c r="E198" s="59"/>
    </row>
    <row r="199" ht="15.75" customHeight="1">
      <c r="E199" s="59"/>
    </row>
    <row r="200" ht="15.75" customHeight="1">
      <c r="E200" s="59"/>
    </row>
    <row r="201" ht="15.75" customHeight="1">
      <c r="E201" s="59"/>
    </row>
    <row r="202" ht="15.75" customHeight="1">
      <c r="E202" s="59"/>
    </row>
    <row r="203" ht="15.75" customHeight="1">
      <c r="E203" s="59"/>
    </row>
    <row r="204" ht="15.75" customHeight="1">
      <c r="E204" s="59"/>
    </row>
    <row r="205" ht="15.75" customHeight="1">
      <c r="E205" s="59"/>
    </row>
    <row r="206" ht="15.75" customHeight="1">
      <c r="E206" s="59"/>
    </row>
    <row r="207" ht="15.75" customHeight="1">
      <c r="E207" s="59"/>
    </row>
    <row r="208" ht="15.75" customHeight="1">
      <c r="E208" s="59"/>
    </row>
    <row r="209" ht="15.75" customHeight="1">
      <c r="E209" s="59"/>
    </row>
    <row r="210" ht="15.75" customHeight="1">
      <c r="E210" s="59"/>
    </row>
    <row r="211" ht="15.75" customHeight="1">
      <c r="E211" s="59"/>
    </row>
    <row r="212" ht="15.75" customHeight="1">
      <c r="E212" s="59"/>
    </row>
    <row r="213" ht="15.75" customHeight="1">
      <c r="E213" s="59"/>
    </row>
    <row r="214" ht="15.75" customHeight="1">
      <c r="E214" s="59"/>
    </row>
    <row r="215" ht="15.75" customHeight="1">
      <c r="E215" s="59"/>
    </row>
    <row r="216" ht="15.75" customHeight="1">
      <c r="E216" s="59"/>
    </row>
    <row r="217" ht="15.75" customHeight="1">
      <c r="E217" s="59"/>
    </row>
    <row r="218" ht="15.75" customHeight="1">
      <c r="E218" s="59"/>
    </row>
    <row r="219" ht="15.75" customHeight="1">
      <c r="E219" s="59"/>
    </row>
    <row r="220" ht="15.75" customHeight="1">
      <c r="E220" s="59"/>
    </row>
    <row r="221" ht="15.75" customHeight="1">
      <c r="E221" s="59"/>
    </row>
    <row r="222" ht="15.75" customHeight="1">
      <c r="E222" s="59"/>
    </row>
    <row r="223" ht="15.75" customHeight="1">
      <c r="E223" s="59"/>
    </row>
    <row r="224" ht="15.75" customHeight="1">
      <c r="E224" s="59"/>
    </row>
    <row r="225" ht="15.75" customHeight="1">
      <c r="E225" s="59"/>
    </row>
    <row r="226" ht="15.75" customHeight="1">
      <c r="E226" s="59"/>
    </row>
    <row r="227" ht="15.75" customHeight="1">
      <c r="E227" s="59"/>
    </row>
    <row r="228" ht="15.75" customHeight="1">
      <c r="E228" s="59"/>
    </row>
    <row r="229" ht="15.75" customHeight="1">
      <c r="E229" s="59"/>
    </row>
    <row r="230" ht="15.75" customHeight="1">
      <c r="E230" s="59"/>
    </row>
    <row r="231" ht="15.75" customHeight="1">
      <c r="E231" s="59"/>
    </row>
    <row r="232" ht="15.75" customHeight="1">
      <c r="E232" s="59"/>
    </row>
    <row r="233" ht="15.75" customHeight="1">
      <c r="E233" s="59"/>
    </row>
    <row r="234" ht="15.75" customHeight="1">
      <c r="E234" s="59"/>
    </row>
    <row r="235" ht="15.75" customHeight="1">
      <c r="E235" s="59"/>
    </row>
    <row r="236" ht="15.75" customHeight="1">
      <c r="E236" s="59"/>
    </row>
    <row r="237" ht="15.75" customHeight="1">
      <c r="E237" s="59"/>
    </row>
    <row r="238" ht="15.75" customHeight="1">
      <c r="E238" s="59"/>
    </row>
    <row r="239" ht="15.75" customHeight="1">
      <c r="E239" s="59"/>
    </row>
    <row r="240" ht="15.75" customHeight="1">
      <c r="E240" s="59"/>
    </row>
    <row r="241" ht="15.75" customHeight="1">
      <c r="E241" s="59"/>
    </row>
    <row r="242" ht="15.75" customHeight="1">
      <c r="E242" s="59"/>
    </row>
    <row r="243" ht="15.75" customHeight="1">
      <c r="E243" s="59"/>
    </row>
    <row r="244" ht="15.75" customHeight="1">
      <c r="E244" s="59"/>
    </row>
    <row r="245" ht="15.75" customHeight="1">
      <c r="E245" s="59"/>
    </row>
    <row r="246" ht="15.75" customHeight="1">
      <c r="E246" s="59"/>
    </row>
    <row r="247" ht="15.75" customHeight="1">
      <c r="E247" s="59"/>
    </row>
    <row r="248" ht="15.75" customHeight="1">
      <c r="E248" s="59"/>
    </row>
    <row r="249" ht="15.75" customHeight="1">
      <c r="E249" s="59"/>
    </row>
    <row r="250" ht="15.75" customHeight="1">
      <c r="E250" s="59"/>
    </row>
    <row r="251" ht="15.75" customHeight="1">
      <c r="E251" s="59"/>
    </row>
    <row r="252" ht="15.75" customHeight="1">
      <c r="E252" s="59"/>
    </row>
    <row r="253" ht="15.75" customHeight="1">
      <c r="E253" s="59"/>
    </row>
    <row r="254" ht="15.75" customHeight="1">
      <c r="E254" s="59"/>
    </row>
    <row r="255" ht="15.75" customHeight="1">
      <c r="E255" s="59"/>
    </row>
    <row r="256" ht="15.75" customHeight="1">
      <c r="E256" s="59"/>
    </row>
    <row r="257" ht="15.75" customHeight="1">
      <c r="E257" s="59"/>
    </row>
    <row r="258" ht="15.75" customHeight="1">
      <c r="E258" s="59"/>
    </row>
    <row r="259" ht="15.75" customHeight="1">
      <c r="E259" s="59"/>
    </row>
    <row r="260" ht="15.75" customHeight="1">
      <c r="E260" s="59"/>
    </row>
    <row r="261" ht="15.75" customHeight="1">
      <c r="E261" s="59"/>
    </row>
    <row r="262" ht="15.75" customHeight="1">
      <c r="E262" s="59"/>
    </row>
    <row r="263" ht="15.75" customHeight="1">
      <c r="E263" s="59"/>
    </row>
    <row r="264" ht="15.75" customHeight="1">
      <c r="E264" s="59"/>
    </row>
    <row r="265" ht="15.75" customHeight="1">
      <c r="E265" s="59"/>
    </row>
    <row r="266" ht="15.75" customHeight="1">
      <c r="E266" s="59"/>
    </row>
    <row r="267" ht="15.75" customHeight="1">
      <c r="E267" s="59"/>
    </row>
    <row r="268" ht="15.75" customHeight="1">
      <c r="E268" s="59"/>
    </row>
    <row r="269" ht="15.75" customHeight="1">
      <c r="E269" s="59"/>
    </row>
    <row r="270" ht="15.75" customHeight="1">
      <c r="E270" s="59"/>
    </row>
    <row r="271" ht="15.75" customHeight="1">
      <c r="E271" s="59"/>
    </row>
    <row r="272" ht="15.75" customHeight="1">
      <c r="E272" s="59"/>
    </row>
    <row r="273" ht="15.75" customHeight="1">
      <c r="E273" s="59"/>
    </row>
    <row r="274" ht="15.75" customHeight="1">
      <c r="E274" s="59"/>
    </row>
    <row r="275" ht="15.75" customHeight="1">
      <c r="E275" s="59"/>
    </row>
    <row r="276" ht="15.75" customHeight="1">
      <c r="E276" s="59"/>
    </row>
    <row r="277" ht="15.75" customHeight="1">
      <c r="E277" s="59"/>
    </row>
    <row r="278" ht="15.75" customHeight="1">
      <c r="E278" s="59"/>
    </row>
    <row r="279" ht="15.75" customHeight="1">
      <c r="E279" s="59"/>
    </row>
    <row r="280" ht="15.75" customHeight="1">
      <c r="E280" s="59"/>
    </row>
    <row r="281" ht="15.75" customHeight="1">
      <c r="E281" s="59"/>
    </row>
    <row r="282" ht="15.75" customHeight="1">
      <c r="E282" s="59"/>
    </row>
    <row r="283" ht="15.75" customHeight="1">
      <c r="E283" s="59"/>
    </row>
    <row r="284" ht="15.75" customHeight="1">
      <c r="E284" s="59"/>
    </row>
    <row r="285" ht="15.75" customHeight="1">
      <c r="E285" s="59"/>
    </row>
    <row r="286" ht="15.75" customHeight="1">
      <c r="E286" s="59"/>
    </row>
    <row r="287" ht="15.75" customHeight="1">
      <c r="E287" s="59"/>
    </row>
    <row r="288" ht="15.75" customHeight="1">
      <c r="E288" s="59"/>
    </row>
    <row r="289" ht="15.75" customHeight="1">
      <c r="E289" s="59"/>
    </row>
    <row r="290" ht="15.75" customHeight="1">
      <c r="E290" s="59"/>
    </row>
    <row r="291" ht="15.75" customHeight="1">
      <c r="E291" s="59"/>
    </row>
    <row r="292" ht="15.75" customHeight="1">
      <c r="E292" s="59"/>
    </row>
    <row r="293" ht="15.75" customHeight="1">
      <c r="E293" s="59"/>
    </row>
    <row r="294" ht="15.75" customHeight="1">
      <c r="E294" s="59"/>
    </row>
    <row r="295" ht="15.75" customHeight="1">
      <c r="E295" s="59"/>
    </row>
    <row r="296" ht="15.75" customHeight="1">
      <c r="E296" s="59"/>
    </row>
    <row r="297" ht="15.75" customHeight="1">
      <c r="E297" s="59"/>
    </row>
    <row r="298" ht="15.75" customHeight="1">
      <c r="E298" s="59"/>
    </row>
    <row r="299" ht="15.75" customHeight="1">
      <c r="E299" s="59"/>
    </row>
    <row r="300" ht="15.75" customHeight="1">
      <c r="E300" s="59"/>
    </row>
    <row r="301" ht="15.75" customHeight="1">
      <c r="E301" s="59"/>
    </row>
    <row r="302" ht="15.75" customHeight="1">
      <c r="E302" s="59"/>
    </row>
    <row r="303" ht="15.75" customHeight="1">
      <c r="E303" s="59"/>
    </row>
    <row r="304" ht="15.75" customHeight="1">
      <c r="E304" s="59"/>
    </row>
    <row r="305" ht="15.75" customHeight="1">
      <c r="E305" s="59"/>
    </row>
    <row r="306" ht="15.75" customHeight="1">
      <c r="E306" s="59"/>
    </row>
    <row r="307" ht="15.75" customHeight="1">
      <c r="E307" s="59"/>
    </row>
    <row r="308" ht="15.75" customHeight="1">
      <c r="E308" s="59"/>
    </row>
    <row r="309" ht="15.75" customHeight="1">
      <c r="E309" s="59"/>
    </row>
    <row r="310" ht="15.75" customHeight="1">
      <c r="E310" s="59"/>
    </row>
    <row r="311" ht="15.75" customHeight="1">
      <c r="E311" s="59"/>
    </row>
    <row r="312" ht="15.75" customHeight="1">
      <c r="E312" s="59"/>
    </row>
    <row r="313" ht="15.75" customHeight="1">
      <c r="E313" s="59"/>
    </row>
    <row r="314" ht="15.75" customHeight="1">
      <c r="E314" s="59"/>
    </row>
    <row r="315" ht="15.75" customHeight="1">
      <c r="E315" s="59"/>
    </row>
    <row r="316" ht="15.75" customHeight="1">
      <c r="E316" s="59"/>
    </row>
    <row r="317" ht="15.75" customHeight="1">
      <c r="E317" s="59"/>
    </row>
    <row r="318" ht="15.75" customHeight="1">
      <c r="E318" s="59"/>
    </row>
    <row r="319" ht="15.75" customHeight="1">
      <c r="E319" s="59"/>
    </row>
    <row r="320" ht="15.75" customHeight="1">
      <c r="E320" s="59"/>
    </row>
    <row r="321" ht="15.75" customHeight="1">
      <c r="E321" s="59"/>
    </row>
    <row r="322" ht="15.75" customHeight="1">
      <c r="E322" s="59"/>
    </row>
    <row r="323" ht="15.75" customHeight="1">
      <c r="E323" s="59"/>
    </row>
    <row r="324" ht="15.75" customHeight="1">
      <c r="E324" s="59"/>
    </row>
    <row r="325" ht="15.75" customHeight="1">
      <c r="E325" s="59"/>
    </row>
    <row r="326" ht="15.75" customHeight="1">
      <c r="E326" s="59"/>
    </row>
    <row r="327" ht="15.75" customHeight="1">
      <c r="E327" s="59"/>
    </row>
    <row r="328" ht="15.75" customHeight="1">
      <c r="E328" s="59"/>
    </row>
    <row r="329" ht="15.75" customHeight="1">
      <c r="E329" s="59"/>
    </row>
    <row r="330" ht="15.75" customHeight="1">
      <c r="E330" s="59"/>
    </row>
    <row r="331" ht="15.75" customHeight="1">
      <c r="E331" s="59"/>
    </row>
    <row r="332" ht="15.75" customHeight="1">
      <c r="E332" s="59"/>
    </row>
    <row r="333" ht="15.75" customHeight="1">
      <c r="E333" s="59"/>
    </row>
    <row r="334" ht="15.75" customHeight="1">
      <c r="E334" s="59"/>
    </row>
    <row r="335" ht="15.75" customHeight="1">
      <c r="E335" s="59"/>
    </row>
    <row r="336" ht="15.75" customHeight="1">
      <c r="E336" s="59"/>
    </row>
    <row r="337" ht="15.75" customHeight="1">
      <c r="E337" s="59"/>
    </row>
    <row r="338" ht="15.75" customHeight="1">
      <c r="E338" s="59"/>
    </row>
    <row r="339" ht="15.75" customHeight="1">
      <c r="E339" s="59"/>
    </row>
    <row r="340" ht="15.75" customHeight="1">
      <c r="E340" s="59"/>
    </row>
    <row r="341" ht="15.75" customHeight="1">
      <c r="E341" s="59"/>
    </row>
    <row r="342" ht="15.75" customHeight="1">
      <c r="E342" s="59"/>
    </row>
    <row r="343" ht="15.75" customHeight="1">
      <c r="E343" s="59"/>
    </row>
    <row r="344" ht="15.75" customHeight="1">
      <c r="E344" s="59"/>
    </row>
    <row r="345" ht="15.75" customHeight="1">
      <c r="E345" s="59"/>
    </row>
    <row r="346" ht="15.75" customHeight="1">
      <c r="E346" s="59"/>
    </row>
    <row r="347" ht="15.75" customHeight="1">
      <c r="E347" s="59"/>
    </row>
    <row r="348" ht="15.75" customHeight="1">
      <c r="E348" s="59"/>
    </row>
    <row r="349" ht="15.75" customHeight="1">
      <c r="E349" s="59"/>
    </row>
    <row r="350" ht="15.75" customHeight="1">
      <c r="E350" s="59"/>
    </row>
    <row r="351" ht="15.75" customHeight="1">
      <c r="E351" s="59"/>
    </row>
    <row r="352" ht="15.75" customHeight="1">
      <c r="E352" s="59"/>
    </row>
    <row r="353" ht="15.75" customHeight="1">
      <c r="E353" s="59"/>
    </row>
    <row r="354" ht="15.75" customHeight="1">
      <c r="E354" s="59"/>
    </row>
    <row r="355" ht="15.75" customHeight="1">
      <c r="E355" s="59"/>
    </row>
    <row r="356" ht="15.75" customHeight="1">
      <c r="E356" s="59"/>
    </row>
    <row r="357" ht="15.75" customHeight="1">
      <c r="E357" s="59"/>
    </row>
    <row r="358" ht="15.75" customHeight="1">
      <c r="E358" s="59"/>
    </row>
    <row r="359" ht="15.75" customHeight="1">
      <c r="E359" s="59"/>
    </row>
    <row r="360" ht="15.75" customHeight="1">
      <c r="E360" s="59"/>
    </row>
    <row r="361" ht="15.75" customHeight="1">
      <c r="E361" s="59"/>
    </row>
    <row r="362" ht="15.75" customHeight="1">
      <c r="E362" s="59"/>
    </row>
    <row r="363" ht="15.75" customHeight="1">
      <c r="E363" s="59"/>
    </row>
    <row r="364" ht="15.75" customHeight="1">
      <c r="E364" s="59"/>
    </row>
    <row r="365" ht="15.75" customHeight="1">
      <c r="E365" s="59"/>
    </row>
    <row r="366" ht="15.75" customHeight="1">
      <c r="E366" s="59"/>
    </row>
    <row r="367" ht="15.75" customHeight="1">
      <c r="E367" s="59"/>
    </row>
    <row r="368" ht="15.75" customHeight="1">
      <c r="E368" s="59"/>
    </row>
    <row r="369" ht="15.75" customHeight="1">
      <c r="E369" s="59"/>
    </row>
    <row r="370" ht="15.75" customHeight="1">
      <c r="E370" s="59"/>
    </row>
    <row r="371" ht="15.75" customHeight="1">
      <c r="E371" s="59"/>
    </row>
    <row r="372" ht="15.75" customHeight="1">
      <c r="E372" s="59"/>
    </row>
    <row r="373" ht="15.75" customHeight="1">
      <c r="E373" s="59"/>
    </row>
    <row r="374" ht="15.75" customHeight="1">
      <c r="E374" s="59"/>
    </row>
    <row r="375" ht="15.75" customHeight="1">
      <c r="E375" s="59"/>
    </row>
    <row r="376" ht="15.75" customHeight="1">
      <c r="E376" s="59"/>
    </row>
    <row r="377" ht="15.75" customHeight="1">
      <c r="E377" s="59"/>
    </row>
    <row r="378" ht="15.75" customHeight="1">
      <c r="E378" s="59"/>
    </row>
    <row r="379" ht="15.75" customHeight="1">
      <c r="E379" s="59"/>
    </row>
    <row r="380" ht="15.75" customHeight="1">
      <c r="E380" s="59"/>
    </row>
    <row r="381" ht="15.75" customHeight="1">
      <c r="E381" s="59"/>
    </row>
    <row r="382" ht="15.75" customHeight="1">
      <c r="E382" s="59"/>
    </row>
    <row r="383" ht="15.75" customHeight="1">
      <c r="E383" s="59"/>
    </row>
    <row r="384" ht="15.75" customHeight="1">
      <c r="E384" s="59"/>
    </row>
    <row r="385" ht="15.75" customHeight="1">
      <c r="E385" s="59"/>
    </row>
    <row r="386" ht="15.75" customHeight="1">
      <c r="E386" s="59"/>
    </row>
    <row r="387" ht="15.75" customHeight="1">
      <c r="E387" s="59"/>
    </row>
    <row r="388" ht="15.75" customHeight="1">
      <c r="E388" s="59"/>
    </row>
    <row r="389" ht="15.75" customHeight="1">
      <c r="E389" s="59"/>
    </row>
    <row r="390" ht="15.75" customHeight="1">
      <c r="E390" s="59"/>
    </row>
    <row r="391" ht="15.75" customHeight="1">
      <c r="E391" s="59"/>
    </row>
    <row r="392" ht="15.75" customHeight="1">
      <c r="E392" s="59"/>
    </row>
    <row r="393" ht="15.75" customHeight="1">
      <c r="E393" s="59"/>
    </row>
    <row r="394" ht="15.75" customHeight="1">
      <c r="E394" s="59"/>
    </row>
    <row r="395" ht="15.75" customHeight="1">
      <c r="E395" s="59"/>
    </row>
    <row r="396" ht="15.75" customHeight="1">
      <c r="E396" s="59"/>
    </row>
    <row r="397" ht="15.75" customHeight="1">
      <c r="E397" s="59"/>
    </row>
    <row r="398" ht="15.75" customHeight="1">
      <c r="E398" s="59"/>
    </row>
    <row r="399" ht="15.75" customHeight="1">
      <c r="E399" s="59"/>
    </row>
    <row r="400" ht="15.75" customHeight="1">
      <c r="E400" s="59"/>
    </row>
    <row r="401" ht="15.75" customHeight="1">
      <c r="E401" s="59"/>
    </row>
    <row r="402" ht="15.75" customHeight="1">
      <c r="E402" s="59"/>
    </row>
    <row r="403" ht="15.75" customHeight="1">
      <c r="E403" s="59"/>
    </row>
    <row r="404" ht="15.75" customHeight="1">
      <c r="E404" s="59"/>
    </row>
    <row r="405" ht="15.75" customHeight="1">
      <c r="E405" s="59"/>
    </row>
    <row r="406" ht="15.75" customHeight="1">
      <c r="E406" s="59"/>
    </row>
    <row r="407" ht="15.75" customHeight="1">
      <c r="E407" s="59"/>
    </row>
    <row r="408" ht="15.75" customHeight="1">
      <c r="E408" s="59"/>
    </row>
    <row r="409" ht="15.75" customHeight="1">
      <c r="E409" s="59"/>
    </row>
    <row r="410" ht="15.75" customHeight="1">
      <c r="E410" s="59"/>
    </row>
    <row r="411" ht="15.75" customHeight="1">
      <c r="E411" s="59"/>
    </row>
    <row r="412" ht="15.75" customHeight="1">
      <c r="E412" s="59"/>
    </row>
    <row r="413" ht="15.75" customHeight="1">
      <c r="E413" s="59"/>
    </row>
    <row r="414" ht="15.75" customHeight="1">
      <c r="E414" s="59"/>
    </row>
    <row r="415" ht="15.75" customHeight="1">
      <c r="E415" s="59"/>
    </row>
    <row r="416" ht="15.75" customHeight="1">
      <c r="E416" s="59"/>
    </row>
    <row r="417" ht="15.75" customHeight="1">
      <c r="E417" s="59"/>
    </row>
    <row r="418" ht="15.75" customHeight="1">
      <c r="E418" s="59"/>
    </row>
    <row r="419" ht="15.75" customHeight="1">
      <c r="E419" s="59"/>
    </row>
    <row r="420" ht="15.75" customHeight="1">
      <c r="E420" s="59"/>
    </row>
    <row r="421" ht="15.75" customHeight="1">
      <c r="E421" s="59"/>
    </row>
    <row r="422" ht="15.75" customHeight="1">
      <c r="E422" s="59"/>
    </row>
    <row r="423" ht="15.75" customHeight="1">
      <c r="E423" s="59"/>
    </row>
    <row r="424" ht="15.75" customHeight="1">
      <c r="E424" s="59"/>
    </row>
    <row r="425" ht="15.75" customHeight="1">
      <c r="E425" s="59"/>
    </row>
    <row r="426" ht="15.75" customHeight="1">
      <c r="E426" s="59"/>
    </row>
    <row r="427" ht="15.75" customHeight="1">
      <c r="E427" s="59"/>
    </row>
    <row r="428" ht="15.75" customHeight="1">
      <c r="E428" s="59"/>
    </row>
    <row r="429" ht="15.75" customHeight="1">
      <c r="E429" s="59"/>
    </row>
    <row r="430" ht="15.75" customHeight="1">
      <c r="E430" s="59"/>
    </row>
    <row r="431" ht="15.75" customHeight="1">
      <c r="E431" s="59"/>
    </row>
    <row r="432" ht="15.75" customHeight="1">
      <c r="E432" s="59"/>
    </row>
    <row r="433" ht="15.75" customHeight="1">
      <c r="E433" s="59"/>
    </row>
    <row r="434" ht="15.75" customHeight="1">
      <c r="E434" s="59"/>
    </row>
    <row r="435" ht="15.75" customHeight="1">
      <c r="E435" s="59"/>
    </row>
    <row r="436" ht="15.75" customHeight="1">
      <c r="E436" s="59"/>
    </row>
    <row r="437" ht="15.75" customHeight="1">
      <c r="E437" s="59"/>
    </row>
    <row r="438" ht="15.75" customHeight="1">
      <c r="E438" s="59"/>
    </row>
    <row r="439" ht="15.75" customHeight="1">
      <c r="E439" s="59"/>
    </row>
    <row r="440" ht="15.75" customHeight="1">
      <c r="E440" s="59"/>
    </row>
    <row r="441" ht="15.75" customHeight="1">
      <c r="E441" s="59"/>
    </row>
    <row r="442" ht="15.75" customHeight="1">
      <c r="E442" s="59"/>
    </row>
    <row r="443" ht="15.75" customHeight="1">
      <c r="E443" s="59"/>
    </row>
    <row r="444" ht="15.75" customHeight="1">
      <c r="E444" s="59"/>
    </row>
    <row r="445" ht="15.75" customHeight="1">
      <c r="E445" s="59"/>
    </row>
    <row r="446" ht="15.75" customHeight="1">
      <c r="E446" s="59"/>
    </row>
    <row r="447" ht="15.75" customHeight="1">
      <c r="E447" s="59"/>
    </row>
    <row r="448" ht="15.75" customHeight="1">
      <c r="E448" s="59"/>
    </row>
    <row r="449" ht="15.75" customHeight="1">
      <c r="E449" s="59"/>
    </row>
    <row r="450" ht="15.75" customHeight="1">
      <c r="E450" s="59"/>
    </row>
    <row r="451" ht="15.75" customHeight="1">
      <c r="E451" s="59"/>
    </row>
    <row r="452" ht="15.75" customHeight="1">
      <c r="E452" s="59"/>
    </row>
    <row r="453" ht="15.75" customHeight="1">
      <c r="E453" s="59"/>
    </row>
    <row r="454" ht="15.75" customHeight="1">
      <c r="E454" s="59"/>
    </row>
    <row r="455" ht="15.75" customHeight="1">
      <c r="E455" s="59"/>
    </row>
    <row r="456" ht="15.75" customHeight="1">
      <c r="E456" s="59"/>
    </row>
    <row r="457" ht="15.75" customHeight="1">
      <c r="E457" s="59"/>
    </row>
    <row r="458" ht="15.75" customHeight="1">
      <c r="E458" s="59"/>
    </row>
    <row r="459" ht="15.75" customHeight="1">
      <c r="E459" s="59"/>
    </row>
    <row r="460" ht="15.75" customHeight="1">
      <c r="E460" s="59"/>
    </row>
    <row r="461" ht="15.75" customHeight="1">
      <c r="E461" s="59"/>
    </row>
    <row r="462" ht="15.75" customHeight="1">
      <c r="E462" s="59"/>
    </row>
    <row r="463" ht="15.75" customHeight="1">
      <c r="E463" s="59"/>
    </row>
    <row r="464" ht="15.75" customHeight="1">
      <c r="E464" s="59"/>
    </row>
    <row r="465" ht="15.75" customHeight="1">
      <c r="E465" s="59"/>
    </row>
    <row r="466" ht="15.75" customHeight="1">
      <c r="E466" s="59"/>
    </row>
    <row r="467" ht="15.75" customHeight="1">
      <c r="E467" s="59"/>
    </row>
    <row r="468" ht="15.75" customHeight="1">
      <c r="E468" s="59"/>
    </row>
    <row r="469" ht="15.75" customHeight="1">
      <c r="E469" s="59"/>
    </row>
    <row r="470" ht="15.75" customHeight="1">
      <c r="E470" s="59"/>
    </row>
    <row r="471" ht="15.75" customHeight="1">
      <c r="E471" s="59"/>
    </row>
    <row r="472" ht="15.75" customHeight="1">
      <c r="E472" s="59"/>
    </row>
    <row r="473" ht="15.75" customHeight="1">
      <c r="E473" s="59"/>
    </row>
    <row r="474" ht="15.75" customHeight="1">
      <c r="E474" s="59"/>
    </row>
    <row r="475" ht="15.75" customHeight="1">
      <c r="E475" s="59"/>
    </row>
    <row r="476" ht="15.75" customHeight="1">
      <c r="E476" s="59"/>
    </row>
    <row r="477" ht="15.75" customHeight="1">
      <c r="E477" s="59"/>
    </row>
    <row r="478" ht="15.75" customHeight="1">
      <c r="E478" s="59"/>
    </row>
    <row r="479" ht="15.75" customHeight="1">
      <c r="E479" s="59"/>
    </row>
    <row r="480" ht="15.75" customHeight="1">
      <c r="E480" s="59"/>
    </row>
    <row r="481" ht="15.75" customHeight="1">
      <c r="E481" s="59"/>
    </row>
    <row r="482" ht="15.75" customHeight="1">
      <c r="E482" s="59"/>
    </row>
    <row r="483" ht="15.75" customHeight="1">
      <c r="E483" s="59"/>
    </row>
    <row r="484" ht="15.75" customHeight="1">
      <c r="E484" s="59"/>
    </row>
    <row r="485" ht="15.75" customHeight="1">
      <c r="E485" s="59"/>
    </row>
    <row r="486" ht="15.75" customHeight="1">
      <c r="E486" s="59"/>
    </row>
    <row r="487" ht="15.75" customHeight="1">
      <c r="E487" s="59"/>
    </row>
    <row r="488" ht="15.75" customHeight="1">
      <c r="E488" s="59"/>
    </row>
    <row r="489" ht="15.75" customHeight="1">
      <c r="E489" s="59"/>
    </row>
    <row r="490" ht="15.75" customHeight="1">
      <c r="E490" s="59"/>
    </row>
    <row r="491" ht="15.75" customHeight="1">
      <c r="E491" s="59"/>
    </row>
    <row r="492" ht="15.75" customHeight="1">
      <c r="E492" s="59"/>
    </row>
    <row r="493" ht="15.75" customHeight="1">
      <c r="E493" s="59"/>
    </row>
    <row r="494" ht="15.75" customHeight="1">
      <c r="E494" s="59"/>
    </row>
    <row r="495" ht="15.75" customHeight="1">
      <c r="E495" s="59"/>
    </row>
    <row r="496" ht="15.75" customHeight="1">
      <c r="E496" s="59"/>
    </row>
    <row r="497" ht="15.75" customHeight="1">
      <c r="E497" s="59"/>
    </row>
    <row r="498" ht="15.75" customHeight="1">
      <c r="E498" s="59"/>
    </row>
    <row r="499" ht="15.75" customHeight="1">
      <c r="E499" s="59"/>
    </row>
    <row r="500" ht="15.75" customHeight="1">
      <c r="E500" s="59"/>
    </row>
    <row r="501" ht="15.75" customHeight="1">
      <c r="E501" s="59"/>
    </row>
    <row r="502" ht="15.75" customHeight="1">
      <c r="E502" s="59"/>
    </row>
    <row r="503" ht="15.75" customHeight="1">
      <c r="E503" s="59"/>
    </row>
    <row r="504" ht="15.75" customHeight="1">
      <c r="E504" s="59"/>
    </row>
    <row r="505" ht="15.75" customHeight="1">
      <c r="E505" s="59"/>
    </row>
    <row r="506" ht="15.75" customHeight="1">
      <c r="E506" s="59"/>
    </row>
    <row r="507" ht="15.75" customHeight="1">
      <c r="E507" s="59"/>
    </row>
    <row r="508" ht="15.75" customHeight="1">
      <c r="E508" s="59"/>
    </row>
    <row r="509" ht="15.75" customHeight="1">
      <c r="E509" s="59"/>
    </row>
    <row r="510" ht="15.75" customHeight="1">
      <c r="E510" s="59"/>
    </row>
    <row r="511" ht="15.75" customHeight="1">
      <c r="E511" s="59"/>
    </row>
    <row r="512" ht="15.75" customHeight="1">
      <c r="E512" s="59"/>
    </row>
    <row r="513" ht="15.75" customHeight="1">
      <c r="E513" s="59"/>
    </row>
    <row r="514" ht="15.75" customHeight="1">
      <c r="E514" s="59"/>
    </row>
    <row r="515" ht="15.75" customHeight="1">
      <c r="E515" s="59"/>
    </row>
    <row r="516" ht="15.75" customHeight="1">
      <c r="E516" s="59"/>
    </row>
    <row r="517" ht="15.75" customHeight="1">
      <c r="E517" s="59"/>
    </row>
    <row r="518" ht="15.75" customHeight="1">
      <c r="E518" s="59"/>
    </row>
    <row r="519" ht="15.75" customHeight="1">
      <c r="E519" s="59"/>
    </row>
    <row r="520" ht="15.75" customHeight="1">
      <c r="E520" s="59"/>
    </row>
    <row r="521" ht="15.75" customHeight="1">
      <c r="E521" s="59"/>
    </row>
    <row r="522" ht="15.75" customHeight="1">
      <c r="E522" s="59"/>
    </row>
    <row r="523" ht="15.75" customHeight="1">
      <c r="E523" s="59"/>
    </row>
    <row r="524" ht="15.75" customHeight="1">
      <c r="E524" s="59"/>
    </row>
    <row r="525" ht="15.75" customHeight="1">
      <c r="E525" s="59"/>
    </row>
    <row r="526" ht="15.75" customHeight="1">
      <c r="E526" s="59"/>
    </row>
    <row r="527" ht="15.75" customHeight="1">
      <c r="E527" s="59"/>
    </row>
    <row r="528" ht="15.75" customHeight="1">
      <c r="E528" s="59"/>
    </row>
    <row r="529" ht="15.75" customHeight="1">
      <c r="E529" s="59"/>
    </row>
    <row r="530" ht="15.75" customHeight="1">
      <c r="E530" s="59"/>
    </row>
    <row r="531" ht="15.75" customHeight="1">
      <c r="E531" s="59"/>
    </row>
    <row r="532" ht="15.75" customHeight="1">
      <c r="E532" s="59"/>
    </row>
    <row r="533" ht="15.75" customHeight="1">
      <c r="E533" s="59"/>
    </row>
    <row r="534" ht="15.75" customHeight="1">
      <c r="E534" s="59"/>
    </row>
    <row r="535" ht="15.75" customHeight="1">
      <c r="E535" s="59"/>
    </row>
    <row r="536" ht="15.75" customHeight="1">
      <c r="E536" s="59"/>
    </row>
    <row r="537" ht="15.75" customHeight="1">
      <c r="E537" s="59"/>
    </row>
    <row r="538" ht="15.75" customHeight="1">
      <c r="E538" s="59"/>
    </row>
    <row r="539" ht="15.75" customHeight="1">
      <c r="E539" s="59"/>
    </row>
    <row r="540" ht="15.75" customHeight="1">
      <c r="E540" s="59"/>
    </row>
    <row r="541" ht="15.75" customHeight="1">
      <c r="E541" s="59"/>
    </row>
    <row r="542" ht="15.75" customHeight="1">
      <c r="E542" s="59"/>
    </row>
    <row r="543" ht="15.75" customHeight="1">
      <c r="E543" s="59"/>
    </row>
    <row r="544" ht="15.75" customHeight="1">
      <c r="E544" s="59"/>
    </row>
    <row r="545" ht="15.75" customHeight="1">
      <c r="E545" s="59"/>
    </row>
    <row r="546" ht="15.75" customHeight="1">
      <c r="E546" s="59"/>
    </row>
    <row r="547" ht="15.75" customHeight="1">
      <c r="E547" s="59"/>
    </row>
    <row r="548" ht="15.75" customHeight="1">
      <c r="E548" s="59"/>
    </row>
    <row r="549" ht="15.75" customHeight="1">
      <c r="E549" s="59"/>
    </row>
    <row r="550" ht="15.75" customHeight="1">
      <c r="E550" s="59"/>
    </row>
    <row r="551" ht="15.75" customHeight="1">
      <c r="E551" s="59"/>
    </row>
    <row r="552" ht="15.75" customHeight="1">
      <c r="E552" s="59"/>
    </row>
    <row r="553" ht="15.75" customHeight="1">
      <c r="E553" s="59"/>
    </row>
    <row r="554" ht="15.75" customHeight="1">
      <c r="E554" s="59"/>
    </row>
    <row r="555" ht="15.75" customHeight="1">
      <c r="E555" s="59"/>
    </row>
    <row r="556" ht="15.75" customHeight="1">
      <c r="E556" s="59"/>
    </row>
    <row r="557" ht="15.75" customHeight="1">
      <c r="E557" s="59"/>
    </row>
    <row r="558" ht="15.75" customHeight="1">
      <c r="E558" s="59"/>
    </row>
    <row r="559" ht="15.75" customHeight="1">
      <c r="E559" s="59"/>
    </row>
    <row r="560" ht="15.75" customHeight="1">
      <c r="E560" s="59"/>
    </row>
    <row r="561" ht="15.75" customHeight="1">
      <c r="E561" s="59"/>
    </row>
    <row r="562" ht="15.75" customHeight="1">
      <c r="E562" s="59"/>
    </row>
    <row r="563" ht="15.75" customHeight="1">
      <c r="E563" s="59"/>
    </row>
    <row r="564" ht="15.75" customHeight="1">
      <c r="E564" s="59"/>
    </row>
    <row r="565" ht="15.75" customHeight="1">
      <c r="E565" s="59"/>
    </row>
    <row r="566" ht="15.75" customHeight="1">
      <c r="E566" s="59"/>
    </row>
    <row r="567" ht="15.75" customHeight="1">
      <c r="E567" s="59"/>
    </row>
    <row r="568" ht="15.75" customHeight="1">
      <c r="E568" s="59"/>
    </row>
    <row r="569" ht="15.75" customHeight="1">
      <c r="E569" s="59"/>
    </row>
    <row r="570" ht="15.75" customHeight="1">
      <c r="E570" s="59"/>
    </row>
    <row r="571" ht="15.75" customHeight="1">
      <c r="E571" s="59"/>
    </row>
    <row r="572" ht="15.75" customHeight="1">
      <c r="E572" s="59"/>
    </row>
    <row r="573" ht="15.75" customHeight="1">
      <c r="E573" s="59"/>
    </row>
    <row r="574" ht="15.75" customHeight="1">
      <c r="E574" s="59"/>
    </row>
    <row r="575" ht="15.75" customHeight="1">
      <c r="E575" s="59"/>
    </row>
    <row r="576" ht="15.75" customHeight="1">
      <c r="E576" s="59"/>
    </row>
    <row r="577" ht="15.75" customHeight="1">
      <c r="E577" s="59"/>
    </row>
    <row r="578" ht="15.75" customHeight="1">
      <c r="E578" s="59"/>
    </row>
    <row r="579" ht="15.75" customHeight="1">
      <c r="E579" s="59"/>
    </row>
    <row r="580" ht="15.75" customHeight="1">
      <c r="E580" s="59"/>
    </row>
    <row r="581" ht="15.75" customHeight="1">
      <c r="E581" s="59"/>
    </row>
    <row r="582" ht="15.75" customHeight="1">
      <c r="E582" s="59"/>
    </row>
    <row r="583" ht="15.75" customHeight="1">
      <c r="E583" s="59"/>
    </row>
    <row r="584" ht="15.75" customHeight="1">
      <c r="E584" s="59"/>
    </row>
    <row r="585" ht="15.75" customHeight="1">
      <c r="E585" s="59"/>
    </row>
    <row r="586" ht="15.75" customHeight="1">
      <c r="E586" s="59"/>
    </row>
    <row r="587" ht="15.75" customHeight="1">
      <c r="E587" s="59"/>
    </row>
    <row r="588" ht="15.75" customHeight="1">
      <c r="E588" s="59"/>
    </row>
    <row r="589" ht="15.75" customHeight="1">
      <c r="E589" s="59"/>
    </row>
    <row r="590" ht="15.75" customHeight="1">
      <c r="E590" s="59"/>
    </row>
    <row r="591" ht="15.75" customHeight="1">
      <c r="E591" s="59"/>
    </row>
    <row r="592" ht="15.75" customHeight="1">
      <c r="E592" s="59"/>
    </row>
    <row r="593" ht="15.75" customHeight="1">
      <c r="E593" s="59"/>
    </row>
    <row r="594" ht="15.75" customHeight="1">
      <c r="E594" s="59"/>
    </row>
    <row r="595" ht="15.75" customHeight="1">
      <c r="E595" s="59"/>
    </row>
    <row r="596" ht="15.75" customHeight="1">
      <c r="E596" s="59"/>
    </row>
    <row r="597" ht="15.75" customHeight="1">
      <c r="E597" s="59"/>
    </row>
    <row r="598" ht="15.75" customHeight="1">
      <c r="E598" s="59"/>
    </row>
    <row r="599" ht="15.75" customHeight="1">
      <c r="E599" s="59"/>
    </row>
    <row r="600" ht="15.75" customHeight="1">
      <c r="E600" s="59"/>
    </row>
    <row r="601" ht="15.75" customHeight="1">
      <c r="E601" s="59"/>
    </row>
    <row r="602" ht="15.75" customHeight="1">
      <c r="E602" s="59"/>
    </row>
    <row r="603" ht="15.75" customHeight="1">
      <c r="E603" s="59"/>
    </row>
    <row r="604" ht="15.75" customHeight="1">
      <c r="E604" s="59"/>
    </row>
    <row r="605" ht="15.75" customHeight="1">
      <c r="E605" s="59"/>
    </row>
    <row r="606" ht="15.75" customHeight="1">
      <c r="E606" s="59"/>
    </row>
    <row r="607" ht="15.75" customHeight="1">
      <c r="E607" s="59"/>
    </row>
    <row r="608" ht="15.75" customHeight="1">
      <c r="E608" s="59"/>
    </row>
    <row r="609" ht="15.75" customHeight="1">
      <c r="E609" s="59"/>
    </row>
    <row r="610" ht="15.75" customHeight="1">
      <c r="E610" s="59"/>
    </row>
    <row r="611" ht="15.75" customHeight="1">
      <c r="E611" s="59"/>
    </row>
    <row r="612" ht="15.75" customHeight="1">
      <c r="E612" s="59"/>
    </row>
    <row r="613" ht="15.75" customHeight="1">
      <c r="E613" s="59"/>
    </row>
    <row r="614" ht="15.75" customHeight="1">
      <c r="E614" s="59"/>
    </row>
    <row r="615" ht="15.75" customHeight="1">
      <c r="E615" s="59"/>
    </row>
    <row r="616" ht="15.75" customHeight="1">
      <c r="E616" s="59"/>
    </row>
    <row r="617" ht="15.75" customHeight="1">
      <c r="E617" s="59"/>
    </row>
    <row r="618" ht="15.75" customHeight="1">
      <c r="E618" s="59"/>
    </row>
    <row r="619" ht="15.75" customHeight="1">
      <c r="E619" s="59"/>
    </row>
    <row r="620" ht="15.75" customHeight="1">
      <c r="E620" s="59"/>
    </row>
    <row r="621" ht="15.75" customHeight="1">
      <c r="E621" s="59"/>
    </row>
    <row r="622" ht="15.75" customHeight="1">
      <c r="E622" s="59"/>
    </row>
    <row r="623" ht="15.75" customHeight="1">
      <c r="E623" s="59"/>
    </row>
    <row r="624" ht="15.75" customHeight="1">
      <c r="E624" s="59"/>
    </row>
    <row r="625" ht="15.75" customHeight="1">
      <c r="E625" s="59"/>
    </row>
    <row r="626" ht="15.75" customHeight="1">
      <c r="E626" s="59"/>
    </row>
    <row r="627" ht="15.75" customHeight="1">
      <c r="E627" s="59"/>
    </row>
    <row r="628" ht="15.75" customHeight="1">
      <c r="E628" s="59"/>
    </row>
    <row r="629" ht="15.75" customHeight="1">
      <c r="E629" s="59"/>
    </row>
    <row r="630" ht="15.75" customHeight="1">
      <c r="E630" s="59"/>
    </row>
    <row r="631" ht="15.75" customHeight="1">
      <c r="E631" s="59"/>
    </row>
    <row r="632" ht="15.75" customHeight="1">
      <c r="E632" s="59"/>
    </row>
    <row r="633" ht="15.75" customHeight="1">
      <c r="E633" s="59"/>
    </row>
    <row r="634" ht="15.75" customHeight="1">
      <c r="E634" s="59"/>
    </row>
    <row r="635" ht="15.75" customHeight="1">
      <c r="E635" s="59"/>
    </row>
    <row r="636" ht="15.75" customHeight="1">
      <c r="E636" s="59"/>
    </row>
    <row r="637" ht="15.75" customHeight="1">
      <c r="E637" s="59"/>
    </row>
    <row r="638" ht="15.75" customHeight="1">
      <c r="E638" s="59"/>
    </row>
    <row r="639" ht="15.75" customHeight="1">
      <c r="E639" s="59"/>
    </row>
    <row r="640" ht="15.75" customHeight="1">
      <c r="E640" s="59"/>
    </row>
    <row r="641" ht="15.75" customHeight="1">
      <c r="E641" s="59"/>
    </row>
    <row r="642" ht="15.75" customHeight="1">
      <c r="E642" s="59"/>
    </row>
    <row r="643" ht="15.75" customHeight="1">
      <c r="E643" s="59"/>
    </row>
    <row r="644" ht="15.75" customHeight="1">
      <c r="E644" s="59"/>
    </row>
    <row r="645" ht="15.75" customHeight="1">
      <c r="E645" s="59"/>
    </row>
    <row r="646" ht="15.75" customHeight="1">
      <c r="E646" s="59"/>
    </row>
    <row r="647" ht="15.75" customHeight="1">
      <c r="E647" s="59"/>
    </row>
    <row r="648" ht="15.75" customHeight="1">
      <c r="E648" s="59"/>
    </row>
    <row r="649" ht="15.75" customHeight="1">
      <c r="E649" s="59"/>
    </row>
    <row r="650" ht="15.75" customHeight="1">
      <c r="E650" s="59"/>
    </row>
    <row r="651" ht="15.75" customHeight="1">
      <c r="E651" s="59"/>
    </row>
    <row r="652" ht="15.75" customHeight="1">
      <c r="E652" s="59"/>
    </row>
    <row r="653" ht="15.75" customHeight="1">
      <c r="E653" s="59"/>
    </row>
    <row r="654" ht="15.75" customHeight="1">
      <c r="E654" s="59"/>
    </row>
    <row r="655" ht="15.75" customHeight="1">
      <c r="E655" s="59"/>
    </row>
    <row r="656" ht="15.75" customHeight="1">
      <c r="E656" s="59"/>
    </row>
    <row r="657" ht="15.75" customHeight="1">
      <c r="E657" s="59"/>
    </row>
    <row r="658" ht="15.75" customHeight="1">
      <c r="E658" s="59"/>
    </row>
    <row r="659" ht="15.75" customHeight="1">
      <c r="E659" s="59"/>
    </row>
    <row r="660" ht="15.75" customHeight="1">
      <c r="E660" s="59"/>
    </row>
    <row r="661" ht="15.75" customHeight="1">
      <c r="E661" s="59"/>
    </row>
    <row r="662" ht="15.75" customHeight="1">
      <c r="E662" s="59"/>
    </row>
    <row r="663" ht="15.75" customHeight="1">
      <c r="E663" s="59"/>
    </row>
    <row r="664" ht="15.75" customHeight="1">
      <c r="E664" s="59"/>
    </row>
    <row r="665" ht="15.75" customHeight="1">
      <c r="E665" s="59"/>
    </row>
    <row r="666" ht="15.75" customHeight="1">
      <c r="E666" s="59"/>
    </row>
    <row r="667" ht="15.75" customHeight="1">
      <c r="E667" s="59"/>
    </row>
    <row r="668" ht="15.75" customHeight="1">
      <c r="E668" s="59"/>
    </row>
    <row r="669" ht="15.75" customHeight="1">
      <c r="E669" s="59"/>
    </row>
    <row r="670" ht="15.75" customHeight="1">
      <c r="E670" s="59"/>
    </row>
    <row r="671" ht="15.75" customHeight="1">
      <c r="E671" s="59"/>
    </row>
    <row r="672" ht="15.75" customHeight="1">
      <c r="E672" s="59"/>
    </row>
    <row r="673" ht="15.75" customHeight="1">
      <c r="E673" s="59"/>
    </row>
    <row r="674" ht="15.75" customHeight="1">
      <c r="E674" s="59"/>
    </row>
    <row r="675" ht="15.75" customHeight="1">
      <c r="E675" s="59"/>
    </row>
    <row r="676" ht="15.75" customHeight="1">
      <c r="E676" s="59"/>
    </row>
    <row r="677" ht="15.75" customHeight="1">
      <c r="E677" s="59"/>
    </row>
    <row r="678" ht="15.75" customHeight="1">
      <c r="E678" s="59"/>
    </row>
    <row r="679" ht="15.75" customHeight="1">
      <c r="E679" s="59"/>
    </row>
    <row r="680" ht="15.75" customHeight="1">
      <c r="E680" s="59"/>
    </row>
    <row r="681" ht="15.75" customHeight="1">
      <c r="E681" s="59"/>
    </row>
    <row r="682" ht="15.75" customHeight="1">
      <c r="E682" s="59"/>
    </row>
    <row r="683" ht="15.75" customHeight="1">
      <c r="E683" s="59"/>
    </row>
    <row r="684" ht="15.75" customHeight="1">
      <c r="E684" s="59"/>
    </row>
    <row r="685" ht="15.75" customHeight="1">
      <c r="E685" s="59"/>
    </row>
    <row r="686" ht="15.75" customHeight="1">
      <c r="E686" s="59"/>
    </row>
    <row r="687" ht="15.75" customHeight="1">
      <c r="E687" s="59"/>
    </row>
    <row r="688" ht="15.75" customHeight="1">
      <c r="E688" s="59"/>
    </row>
    <row r="689" ht="15.75" customHeight="1">
      <c r="E689" s="59"/>
    </row>
    <row r="690" ht="15.75" customHeight="1">
      <c r="E690" s="59"/>
    </row>
    <row r="691" ht="15.75" customHeight="1">
      <c r="E691" s="59"/>
    </row>
    <row r="692" ht="15.75" customHeight="1">
      <c r="E692" s="59"/>
    </row>
    <row r="693" ht="15.75" customHeight="1">
      <c r="E693" s="59"/>
    </row>
    <row r="694" ht="15.75" customHeight="1">
      <c r="E694" s="59"/>
    </row>
    <row r="695" ht="15.75" customHeight="1">
      <c r="E695" s="59"/>
    </row>
    <row r="696" ht="15.75" customHeight="1">
      <c r="E696" s="59"/>
    </row>
    <row r="697" ht="15.75" customHeight="1">
      <c r="E697" s="59"/>
    </row>
    <row r="698" ht="15.75" customHeight="1">
      <c r="E698" s="59"/>
    </row>
    <row r="699" ht="15.75" customHeight="1">
      <c r="E699" s="59"/>
    </row>
    <row r="700" ht="15.75" customHeight="1">
      <c r="E700" s="59"/>
    </row>
    <row r="701" ht="15.75" customHeight="1">
      <c r="E701" s="59"/>
    </row>
    <row r="702" ht="15.75" customHeight="1">
      <c r="E702" s="59"/>
    </row>
    <row r="703" ht="15.75" customHeight="1">
      <c r="E703" s="59"/>
    </row>
    <row r="704" ht="15.75" customHeight="1">
      <c r="E704" s="59"/>
    </row>
    <row r="705" ht="15.75" customHeight="1">
      <c r="E705" s="59"/>
    </row>
    <row r="706" ht="15.75" customHeight="1">
      <c r="E706" s="59"/>
    </row>
    <row r="707" ht="15.75" customHeight="1">
      <c r="E707" s="59"/>
    </row>
    <row r="708" ht="15.75" customHeight="1">
      <c r="E708" s="59"/>
    </row>
    <row r="709" ht="15.75" customHeight="1">
      <c r="E709" s="59"/>
    </row>
    <row r="710" ht="15.75" customHeight="1">
      <c r="E710" s="59"/>
    </row>
    <row r="711" ht="15.75" customHeight="1">
      <c r="E711" s="59"/>
    </row>
    <row r="712" ht="15.75" customHeight="1">
      <c r="E712" s="59"/>
    </row>
    <row r="713" ht="15.75" customHeight="1">
      <c r="E713" s="59"/>
    </row>
    <row r="714" ht="15.75" customHeight="1">
      <c r="E714" s="59"/>
    </row>
    <row r="715" ht="15.75" customHeight="1">
      <c r="E715" s="59"/>
    </row>
    <row r="716" ht="15.75" customHeight="1">
      <c r="E716" s="59"/>
    </row>
    <row r="717" ht="15.75" customHeight="1">
      <c r="E717" s="59"/>
    </row>
    <row r="718" ht="15.75" customHeight="1">
      <c r="E718" s="59"/>
    </row>
    <row r="719" ht="15.75" customHeight="1">
      <c r="E719" s="59"/>
    </row>
    <row r="720" ht="15.75" customHeight="1">
      <c r="E720" s="59"/>
    </row>
    <row r="721" ht="15.75" customHeight="1">
      <c r="E721" s="59"/>
    </row>
    <row r="722" ht="15.75" customHeight="1">
      <c r="E722" s="59"/>
    </row>
    <row r="723" ht="15.75" customHeight="1">
      <c r="E723" s="59"/>
    </row>
    <row r="724" ht="15.75" customHeight="1">
      <c r="E724" s="59"/>
    </row>
    <row r="725" ht="15.75" customHeight="1">
      <c r="E725" s="59"/>
    </row>
    <row r="726" ht="15.75" customHeight="1">
      <c r="E726" s="59"/>
    </row>
    <row r="727" ht="15.75" customHeight="1">
      <c r="E727" s="59"/>
    </row>
    <row r="728" ht="15.75" customHeight="1">
      <c r="E728" s="59"/>
    </row>
    <row r="729" ht="15.75" customHeight="1">
      <c r="E729" s="59"/>
    </row>
    <row r="730" ht="15.75" customHeight="1">
      <c r="E730" s="59"/>
    </row>
    <row r="731" ht="15.75" customHeight="1">
      <c r="E731" s="59"/>
    </row>
    <row r="732" ht="15.75" customHeight="1">
      <c r="E732" s="59"/>
    </row>
    <row r="733" ht="15.75" customHeight="1">
      <c r="E733" s="59"/>
    </row>
    <row r="734" ht="15.75" customHeight="1">
      <c r="E734" s="59"/>
    </row>
    <row r="735" ht="15.75" customHeight="1">
      <c r="E735" s="59"/>
    </row>
    <row r="736" ht="15.75" customHeight="1">
      <c r="E736" s="59"/>
    </row>
    <row r="737" ht="15.75" customHeight="1">
      <c r="E737" s="59"/>
    </row>
    <row r="738" ht="15.75" customHeight="1">
      <c r="E738" s="59"/>
    </row>
    <row r="739" ht="15.75" customHeight="1">
      <c r="E739" s="59"/>
    </row>
    <row r="740" ht="15.75" customHeight="1">
      <c r="E740" s="59"/>
    </row>
    <row r="741" ht="15.75" customHeight="1">
      <c r="E741" s="59"/>
    </row>
    <row r="742" ht="15.75" customHeight="1">
      <c r="E742" s="59"/>
    </row>
    <row r="743" ht="15.75" customHeight="1">
      <c r="E743" s="59"/>
    </row>
    <row r="744" ht="15.75" customHeight="1">
      <c r="E744" s="59"/>
    </row>
    <row r="745" ht="15.75" customHeight="1">
      <c r="E745" s="59"/>
    </row>
    <row r="746" ht="15.75" customHeight="1">
      <c r="E746" s="59"/>
    </row>
    <row r="747" ht="15.75" customHeight="1">
      <c r="E747" s="59"/>
    </row>
    <row r="748" ht="15.75" customHeight="1">
      <c r="E748" s="59"/>
    </row>
    <row r="749" ht="15.75" customHeight="1">
      <c r="E749" s="59"/>
    </row>
    <row r="750" ht="15.75" customHeight="1">
      <c r="E750" s="59"/>
    </row>
    <row r="751" ht="15.75" customHeight="1">
      <c r="E751" s="59"/>
    </row>
    <row r="752" ht="15.75" customHeight="1">
      <c r="E752" s="59"/>
    </row>
    <row r="753" ht="15.75" customHeight="1">
      <c r="E753" s="59"/>
    </row>
    <row r="754" ht="15.75" customHeight="1">
      <c r="E754" s="59"/>
    </row>
    <row r="755" ht="15.75" customHeight="1">
      <c r="E755" s="59"/>
    </row>
    <row r="756" ht="15.75" customHeight="1">
      <c r="E756" s="59"/>
    </row>
    <row r="757" ht="15.75" customHeight="1">
      <c r="E757" s="59"/>
    </row>
    <row r="758" ht="15.75" customHeight="1">
      <c r="E758" s="59"/>
    </row>
    <row r="759" ht="15.75" customHeight="1">
      <c r="E759" s="59"/>
    </row>
    <row r="760" ht="15.75" customHeight="1">
      <c r="E760" s="59"/>
    </row>
    <row r="761" ht="15.75" customHeight="1">
      <c r="E761" s="59"/>
    </row>
    <row r="762" ht="15.75" customHeight="1">
      <c r="E762" s="59"/>
    </row>
    <row r="763" ht="15.75" customHeight="1">
      <c r="E763" s="59"/>
    </row>
    <row r="764" ht="15.75" customHeight="1">
      <c r="E764" s="59"/>
    </row>
    <row r="765" ht="15.75" customHeight="1">
      <c r="E765" s="59"/>
    </row>
    <row r="766" ht="15.75" customHeight="1">
      <c r="E766" s="59"/>
    </row>
    <row r="767" ht="15.75" customHeight="1">
      <c r="E767" s="59"/>
    </row>
    <row r="768" ht="15.75" customHeight="1">
      <c r="E768" s="59"/>
    </row>
    <row r="769" ht="15.75" customHeight="1">
      <c r="E769" s="59"/>
    </row>
    <row r="770" ht="15.75" customHeight="1">
      <c r="E770" s="59"/>
    </row>
    <row r="771" ht="15.75" customHeight="1">
      <c r="E771" s="59"/>
    </row>
    <row r="772" ht="15.75" customHeight="1">
      <c r="E772" s="59"/>
    </row>
    <row r="773" ht="15.75" customHeight="1">
      <c r="E773" s="59"/>
    </row>
    <row r="774" ht="15.75" customHeight="1">
      <c r="E774" s="59"/>
    </row>
    <row r="775" ht="15.75" customHeight="1">
      <c r="E775" s="59"/>
    </row>
    <row r="776" ht="15.75" customHeight="1">
      <c r="E776" s="59"/>
    </row>
    <row r="777" ht="15.75" customHeight="1">
      <c r="E777" s="59"/>
    </row>
    <row r="778" ht="15.75" customHeight="1">
      <c r="E778" s="59"/>
    </row>
    <row r="779" ht="15.75" customHeight="1">
      <c r="E779" s="59"/>
    </row>
    <row r="780" ht="15.75" customHeight="1">
      <c r="E780" s="59"/>
    </row>
    <row r="781" ht="15.75" customHeight="1">
      <c r="E781" s="59"/>
    </row>
    <row r="782" ht="15.75" customHeight="1">
      <c r="E782" s="59"/>
    </row>
    <row r="783" ht="15.75" customHeight="1">
      <c r="E783" s="59"/>
    </row>
    <row r="784" ht="15.75" customHeight="1">
      <c r="E784" s="59"/>
    </row>
    <row r="785" ht="15.75" customHeight="1">
      <c r="E785" s="59"/>
    </row>
    <row r="786" ht="15.75" customHeight="1">
      <c r="E786" s="59"/>
    </row>
    <row r="787" ht="15.75" customHeight="1">
      <c r="E787" s="59"/>
    </row>
    <row r="788" ht="15.75" customHeight="1">
      <c r="E788" s="59"/>
    </row>
    <row r="789" ht="15.75" customHeight="1">
      <c r="E789" s="59"/>
    </row>
    <row r="790" ht="15.75" customHeight="1">
      <c r="E790" s="59"/>
    </row>
    <row r="791" ht="15.75" customHeight="1">
      <c r="E791" s="59"/>
    </row>
    <row r="792" ht="15.75" customHeight="1">
      <c r="E792" s="59"/>
    </row>
    <row r="793" ht="15.75" customHeight="1">
      <c r="E793" s="59"/>
    </row>
    <row r="794" ht="15.75" customHeight="1">
      <c r="E794" s="59"/>
    </row>
    <row r="795" ht="15.75" customHeight="1">
      <c r="E795" s="59"/>
    </row>
    <row r="796" ht="15.75" customHeight="1">
      <c r="E796" s="59"/>
    </row>
    <row r="797" ht="15.75" customHeight="1">
      <c r="E797" s="59"/>
    </row>
    <row r="798" ht="15.75" customHeight="1">
      <c r="E798" s="59"/>
    </row>
    <row r="799" ht="15.75" customHeight="1">
      <c r="E799" s="59"/>
    </row>
    <row r="800" ht="15.75" customHeight="1">
      <c r="E800" s="59"/>
    </row>
    <row r="801" ht="15.75" customHeight="1">
      <c r="E801" s="59"/>
    </row>
    <row r="802" ht="15.75" customHeight="1">
      <c r="E802" s="59"/>
    </row>
    <row r="803" ht="15.75" customHeight="1">
      <c r="E803" s="59"/>
    </row>
    <row r="804" ht="15.75" customHeight="1">
      <c r="E804" s="59"/>
    </row>
    <row r="805" ht="15.75" customHeight="1">
      <c r="E805" s="59"/>
    </row>
    <row r="806" ht="15.75" customHeight="1">
      <c r="E806" s="59"/>
    </row>
    <row r="807" ht="15.75" customHeight="1">
      <c r="E807" s="59"/>
    </row>
    <row r="808" ht="15.75" customHeight="1">
      <c r="E808" s="59"/>
    </row>
    <row r="809" ht="15.75" customHeight="1">
      <c r="E809" s="59"/>
    </row>
    <row r="810" ht="15.75" customHeight="1">
      <c r="E810" s="59"/>
    </row>
    <row r="811" ht="15.75" customHeight="1">
      <c r="E811" s="59"/>
    </row>
    <row r="812" ht="15.75" customHeight="1">
      <c r="E812" s="59"/>
    </row>
    <row r="813" ht="15.75" customHeight="1">
      <c r="E813" s="59"/>
    </row>
    <row r="814" ht="15.75" customHeight="1">
      <c r="E814" s="59"/>
    </row>
    <row r="815" ht="15.75" customHeight="1">
      <c r="E815" s="59"/>
    </row>
    <row r="816" ht="15.75" customHeight="1">
      <c r="E816" s="59"/>
    </row>
    <row r="817" ht="15.75" customHeight="1">
      <c r="E817" s="59"/>
    </row>
    <row r="818" ht="15.75" customHeight="1">
      <c r="E818" s="59"/>
    </row>
    <row r="819" ht="15.75" customHeight="1">
      <c r="E819" s="59"/>
    </row>
    <row r="820" ht="15.75" customHeight="1">
      <c r="E820" s="59"/>
    </row>
    <row r="821" ht="15.75" customHeight="1">
      <c r="E821" s="59"/>
    </row>
    <row r="822" ht="15.75" customHeight="1">
      <c r="E822" s="59"/>
    </row>
    <row r="823" ht="15.75" customHeight="1">
      <c r="E823" s="59"/>
    </row>
    <row r="824" ht="15.75" customHeight="1">
      <c r="E824" s="59"/>
    </row>
    <row r="825" ht="15.75" customHeight="1">
      <c r="E825" s="59"/>
    </row>
    <row r="826" ht="15.75" customHeight="1">
      <c r="E826" s="59"/>
    </row>
    <row r="827" ht="15.75" customHeight="1">
      <c r="E827" s="59"/>
    </row>
    <row r="828" ht="15.75" customHeight="1">
      <c r="E828" s="59"/>
    </row>
    <row r="829" ht="15.75" customHeight="1">
      <c r="E829" s="59"/>
    </row>
    <row r="830" ht="15.75" customHeight="1">
      <c r="E830" s="59"/>
    </row>
    <row r="831" ht="15.75" customHeight="1">
      <c r="E831" s="59"/>
    </row>
    <row r="832" ht="15.75" customHeight="1">
      <c r="E832" s="59"/>
    </row>
    <row r="833" ht="15.75" customHeight="1">
      <c r="E833" s="59"/>
    </row>
    <row r="834" ht="15.75" customHeight="1">
      <c r="E834" s="59"/>
    </row>
    <row r="835" ht="15.75" customHeight="1">
      <c r="E835" s="59"/>
    </row>
    <row r="836" ht="15.75" customHeight="1">
      <c r="E836" s="59"/>
    </row>
    <row r="837" ht="15.75" customHeight="1">
      <c r="E837" s="59"/>
    </row>
    <row r="838" ht="15.75" customHeight="1">
      <c r="E838" s="59"/>
    </row>
    <row r="839" ht="15.75" customHeight="1">
      <c r="E839" s="59"/>
    </row>
    <row r="840" ht="15.75" customHeight="1">
      <c r="E840" s="59"/>
    </row>
    <row r="841" ht="15.75" customHeight="1">
      <c r="E841" s="59"/>
    </row>
    <row r="842" ht="15.75" customHeight="1">
      <c r="E842" s="59"/>
    </row>
    <row r="843" ht="15.75" customHeight="1">
      <c r="E843" s="59"/>
    </row>
    <row r="844" ht="15.75" customHeight="1">
      <c r="E844" s="59"/>
    </row>
    <row r="845" ht="15.75" customHeight="1">
      <c r="E845" s="59"/>
    </row>
    <row r="846" ht="15.75" customHeight="1">
      <c r="E846" s="59"/>
    </row>
    <row r="847" ht="15.75" customHeight="1">
      <c r="E847" s="59"/>
    </row>
    <row r="848" ht="15.75" customHeight="1">
      <c r="E848" s="59"/>
    </row>
    <row r="849" ht="15.75" customHeight="1">
      <c r="E849" s="59"/>
    </row>
    <row r="850" ht="15.75" customHeight="1">
      <c r="E850" s="59"/>
    </row>
    <row r="851" ht="15.75" customHeight="1">
      <c r="E851" s="59"/>
    </row>
    <row r="852" ht="15.75" customHeight="1">
      <c r="E852" s="59"/>
    </row>
    <row r="853" ht="15.75" customHeight="1">
      <c r="E853" s="59"/>
    </row>
    <row r="854" ht="15.75" customHeight="1">
      <c r="E854" s="59"/>
    </row>
    <row r="855" ht="15.75" customHeight="1">
      <c r="E855" s="59"/>
    </row>
    <row r="856" ht="15.75" customHeight="1">
      <c r="E856" s="59"/>
    </row>
    <row r="857" ht="15.75" customHeight="1">
      <c r="E857" s="59"/>
    </row>
    <row r="858" ht="15.75" customHeight="1">
      <c r="E858" s="59"/>
    </row>
    <row r="859" ht="15.75" customHeight="1">
      <c r="E859" s="59"/>
    </row>
    <row r="860" ht="15.75" customHeight="1">
      <c r="E860" s="59"/>
    </row>
    <row r="861" ht="15.75" customHeight="1">
      <c r="E861" s="59"/>
    </row>
    <row r="862" ht="15.75" customHeight="1">
      <c r="E862" s="59"/>
    </row>
    <row r="863" ht="15.75" customHeight="1">
      <c r="E863" s="59"/>
    </row>
    <row r="864" ht="15.75" customHeight="1">
      <c r="E864" s="59"/>
    </row>
    <row r="865" ht="15.75" customHeight="1">
      <c r="E865" s="59"/>
    </row>
    <row r="866" ht="15.75" customHeight="1">
      <c r="E866" s="59"/>
    </row>
    <row r="867" ht="15.75" customHeight="1">
      <c r="E867" s="59"/>
    </row>
    <row r="868" ht="15.75" customHeight="1">
      <c r="E868" s="59"/>
    </row>
    <row r="869" ht="15.75" customHeight="1">
      <c r="E869" s="59"/>
    </row>
    <row r="870" ht="15.75" customHeight="1">
      <c r="E870" s="59"/>
    </row>
    <row r="871" ht="15.75" customHeight="1">
      <c r="E871" s="59"/>
    </row>
    <row r="872" ht="15.75" customHeight="1">
      <c r="E872" s="59"/>
    </row>
    <row r="873" ht="15.75" customHeight="1">
      <c r="E873" s="59"/>
    </row>
    <row r="874" ht="15.75" customHeight="1">
      <c r="E874" s="59"/>
    </row>
    <row r="875" ht="15.75" customHeight="1">
      <c r="E875" s="59"/>
    </row>
    <row r="876" ht="15.75" customHeight="1">
      <c r="E876" s="59"/>
    </row>
    <row r="877" ht="15.75" customHeight="1">
      <c r="E877" s="59"/>
    </row>
    <row r="878" ht="15.75" customHeight="1">
      <c r="E878" s="59"/>
    </row>
    <row r="879" ht="15.75" customHeight="1">
      <c r="E879" s="59"/>
    </row>
    <row r="880" ht="15.75" customHeight="1">
      <c r="E880" s="59"/>
    </row>
    <row r="881" ht="15.75" customHeight="1">
      <c r="E881" s="59"/>
    </row>
    <row r="882" ht="15.75" customHeight="1">
      <c r="E882" s="59"/>
    </row>
    <row r="883" ht="15.75" customHeight="1">
      <c r="E883" s="59"/>
    </row>
    <row r="884" ht="15.75" customHeight="1">
      <c r="E884" s="59"/>
    </row>
    <row r="885" ht="15.75" customHeight="1">
      <c r="E885" s="59"/>
    </row>
    <row r="886" ht="15.75" customHeight="1">
      <c r="E886" s="59"/>
    </row>
    <row r="887" ht="15.75" customHeight="1">
      <c r="E887" s="59"/>
    </row>
    <row r="888" ht="15.75" customHeight="1">
      <c r="E888" s="59"/>
    </row>
    <row r="889" ht="15.75" customHeight="1">
      <c r="E889" s="59"/>
    </row>
    <row r="890" ht="15.75" customHeight="1">
      <c r="E890" s="59"/>
    </row>
    <row r="891" ht="15.75" customHeight="1">
      <c r="E891" s="59"/>
    </row>
    <row r="892" ht="15.75" customHeight="1">
      <c r="E892" s="59"/>
    </row>
    <row r="893" ht="15.75" customHeight="1">
      <c r="E893" s="59"/>
    </row>
    <row r="894" ht="15.75" customHeight="1">
      <c r="E894" s="59"/>
    </row>
    <row r="895" ht="15.75" customHeight="1">
      <c r="E895" s="59"/>
    </row>
    <row r="896" ht="15.75" customHeight="1">
      <c r="E896" s="59"/>
    </row>
    <row r="897" ht="15.75" customHeight="1">
      <c r="E897" s="59"/>
    </row>
    <row r="898" ht="15.75" customHeight="1">
      <c r="E898" s="59"/>
    </row>
    <row r="899" ht="15.75" customHeight="1">
      <c r="E899" s="59"/>
    </row>
    <row r="900" ht="15.75" customHeight="1">
      <c r="E900" s="59"/>
    </row>
    <row r="901" ht="15.75" customHeight="1">
      <c r="E901" s="59"/>
    </row>
    <row r="902" ht="15.75" customHeight="1">
      <c r="E902" s="59"/>
    </row>
    <row r="903" ht="15.75" customHeight="1">
      <c r="E903" s="59"/>
    </row>
    <row r="904" ht="15.75" customHeight="1">
      <c r="E904" s="59"/>
    </row>
    <row r="905" ht="15.75" customHeight="1">
      <c r="E905" s="59"/>
    </row>
    <row r="906" ht="15.75" customHeight="1">
      <c r="E906" s="59"/>
    </row>
    <row r="907" ht="15.75" customHeight="1">
      <c r="E907" s="59"/>
    </row>
    <row r="908" ht="15.75" customHeight="1">
      <c r="E908" s="59"/>
    </row>
    <row r="909" ht="15.75" customHeight="1">
      <c r="E909" s="59"/>
    </row>
    <row r="910" ht="15.75" customHeight="1">
      <c r="E910" s="59"/>
    </row>
    <row r="911" ht="15.75" customHeight="1">
      <c r="E911" s="59"/>
    </row>
    <row r="912" ht="15.75" customHeight="1">
      <c r="E912" s="59"/>
    </row>
    <row r="913" ht="15.75" customHeight="1">
      <c r="E913" s="59"/>
    </row>
    <row r="914" ht="15.75" customHeight="1">
      <c r="E914" s="59"/>
    </row>
    <row r="915" ht="15.75" customHeight="1">
      <c r="E915" s="59"/>
    </row>
    <row r="916" ht="15.75" customHeight="1">
      <c r="E916" s="59"/>
    </row>
    <row r="917" ht="15.75" customHeight="1">
      <c r="E917" s="59"/>
    </row>
    <row r="918" ht="15.75" customHeight="1">
      <c r="E918" s="59"/>
    </row>
    <row r="919" ht="15.75" customHeight="1">
      <c r="E919" s="59"/>
    </row>
    <row r="920" ht="15.75" customHeight="1">
      <c r="E920" s="59"/>
    </row>
    <row r="921" ht="15.75" customHeight="1">
      <c r="E921" s="59"/>
    </row>
    <row r="922" ht="15.75" customHeight="1">
      <c r="E922" s="59"/>
    </row>
    <row r="923" ht="15.75" customHeight="1">
      <c r="E923" s="59"/>
    </row>
    <row r="924" ht="15.75" customHeight="1">
      <c r="E924" s="59"/>
    </row>
    <row r="925" ht="15.75" customHeight="1">
      <c r="E925" s="59"/>
    </row>
    <row r="926" ht="15.75" customHeight="1">
      <c r="E926" s="59"/>
    </row>
    <row r="927" ht="15.75" customHeight="1">
      <c r="E927" s="59"/>
    </row>
    <row r="928" ht="15.75" customHeight="1">
      <c r="E928" s="59"/>
    </row>
    <row r="929" ht="15.75" customHeight="1">
      <c r="E929" s="59"/>
    </row>
    <row r="930" ht="15.75" customHeight="1">
      <c r="E930" s="59"/>
    </row>
    <row r="931" ht="15.75" customHeight="1">
      <c r="E931" s="59"/>
    </row>
    <row r="932" ht="15.75" customHeight="1">
      <c r="E932" s="59"/>
    </row>
    <row r="933" ht="15.75" customHeight="1">
      <c r="E933" s="59"/>
    </row>
    <row r="934" ht="15.75" customHeight="1">
      <c r="E934" s="59"/>
    </row>
    <row r="935" ht="15.75" customHeight="1">
      <c r="E935" s="59"/>
    </row>
    <row r="936" ht="15.75" customHeight="1">
      <c r="E936" s="59"/>
    </row>
    <row r="937" ht="15.75" customHeight="1">
      <c r="E937" s="59"/>
    </row>
    <row r="938" ht="15.75" customHeight="1">
      <c r="E938" s="59"/>
    </row>
    <row r="939" ht="15.75" customHeight="1">
      <c r="E939" s="59"/>
    </row>
    <row r="940" ht="15.75" customHeight="1">
      <c r="E940" s="59"/>
    </row>
    <row r="941" ht="15.75" customHeight="1">
      <c r="E941" s="59"/>
    </row>
    <row r="942" ht="15.75" customHeight="1">
      <c r="E942" s="59"/>
    </row>
    <row r="943" ht="15.75" customHeight="1">
      <c r="E943" s="59"/>
    </row>
    <row r="944" ht="15.75" customHeight="1">
      <c r="E944" s="59"/>
    </row>
    <row r="945" ht="15.75" customHeight="1">
      <c r="E945" s="59"/>
    </row>
    <row r="946" ht="15.75" customHeight="1">
      <c r="E946" s="59"/>
    </row>
    <row r="947" ht="15.75" customHeight="1">
      <c r="E947" s="59"/>
    </row>
    <row r="948" ht="15.75" customHeight="1">
      <c r="E948" s="59"/>
    </row>
    <row r="949" ht="15.75" customHeight="1">
      <c r="E949" s="59"/>
    </row>
    <row r="950" ht="15.75" customHeight="1">
      <c r="E950" s="59"/>
    </row>
    <row r="951" ht="15.75" customHeight="1">
      <c r="E951" s="59"/>
    </row>
    <row r="952" ht="15.75" customHeight="1">
      <c r="E952" s="59"/>
    </row>
    <row r="953" ht="15.75" customHeight="1">
      <c r="E953" s="59"/>
    </row>
    <row r="954" ht="15.75" customHeight="1">
      <c r="E954" s="59"/>
    </row>
    <row r="955" ht="15.75" customHeight="1">
      <c r="E955" s="59"/>
    </row>
    <row r="956" ht="15.75" customHeight="1">
      <c r="E956" s="59"/>
    </row>
    <row r="957" ht="15.75" customHeight="1">
      <c r="E957" s="59"/>
    </row>
    <row r="958" ht="15.75" customHeight="1">
      <c r="E958" s="59"/>
    </row>
    <row r="959" ht="15.75" customHeight="1">
      <c r="E959" s="59"/>
    </row>
    <row r="960" ht="15.75" customHeight="1">
      <c r="E960" s="59"/>
    </row>
    <row r="961" ht="15.75" customHeight="1">
      <c r="E961" s="59"/>
    </row>
    <row r="962" ht="15.75" customHeight="1">
      <c r="E962" s="59"/>
    </row>
    <row r="963" ht="15.75" customHeight="1">
      <c r="E963" s="59"/>
    </row>
    <row r="964" ht="15.75" customHeight="1">
      <c r="E964" s="59"/>
    </row>
    <row r="965" ht="15.75" customHeight="1">
      <c r="E965" s="59"/>
    </row>
    <row r="966" ht="15.75" customHeight="1">
      <c r="E966" s="59"/>
    </row>
    <row r="967" ht="15.75" customHeight="1">
      <c r="E967" s="59"/>
    </row>
    <row r="968" ht="15.75" customHeight="1">
      <c r="E968" s="59"/>
    </row>
    <row r="969" ht="15.75" customHeight="1">
      <c r="E969" s="59"/>
    </row>
    <row r="970" ht="15.75" customHeight="1">
      <c r="E970" s="59"/>
    </row>
    <row r="971" ht="15.75" customHeight="1">
      <c r="E971" s="59"/>
    </row>
    <row r="972" ht="15.75" customHeight="1">
      <c r="E972" s="59"/>
    </row>
    <row r="973" ht="15.75" customHeight="1">
      <c r="E973" s="59"/>
    </row>
    <row r="974" ht="15.75" customHeight="1">
      <c r="E974" s="59"/>
    </row>
    <row r="975" ht="15.75" customHeight="1">
      <c r="E975" s="59"/>
    </row>
    <row r="976" ht="15.75" customHeight="1">
      <c r="E976" s="59"/>
    </row>
    <row r="977" ht="15.75" customHeight="1">
      <c r="E977" s="59"/>
    </row>
    <row r="978" ht="15.75" customHeight="1">
      <c r="E978" s="59"/>
    </row>
    <row r="979" ht="15.75" customHeight="1">
      <c r="E979" s="59"/>
    </row>
    <row r="980" ht="15.75" customHeight="1">
      <c r="E980" s="59"/>
    </row>
    <row r="981" ht="15.75" customHeight="1">
      <c r="E981" s="59"/>
    </row>
    <row r="982" ht="15.75" customHeight="1">
      <c r="E982" s="59"/>
    </row>
    <row r="983" ht="15.75" customHeight="1">
      <c r="E983" s="59"/>
    </row>
    <row r="984" ht="15.75" customHeight="1">
      <c r="E984" s="59"/>
    </row>
    <row r="985" ht="15.75" customHeight="1">
      <c r="E985" s="59"/>
    </row>
    <row r="986" ht="15.75" customHeight="1">
      <c r="E986" s="59"/>
    </row>
    <row r="987" ht="15.75" customHeight="1">
      <c r="E987" s="59"/>
    </row>
    <row r="988" ht="15.75" customHeight="1">
      <c r="E988" s="59"/>
    </row>
    <row r="989" ht="15.75" customHeight="1">
      <c r="E989" s="59"/>
    </row>
    <row r="990" ht="15.75" customHeight="1">
      <c r="E990" s="59"/>
    </row>
    <row r="991" ht="15.75" customHeight="1">
      <c r="E991" s="59"/>
    </row>
    <row r="992" ht="15.75" customHeight="1">
      <c r="E992" s="59"/>
    </row>
    <row r="993" ht="15.75" customHeight="1">
      <c r="E993" s="59"/>
    </row>
    <row r="994" ht="15.75" customHeight="1">
      <c r="E994" s="59"/>
    </row>
    <row r="995" ht="15.75" customHeight="1">
      <c r="E995" s="59"/>
    </row>
    <row r="996" ht="15.75" customHeight="1">
      <c r="E996" s="59"/>
    </row>
    <row r="997" ht="15.75" customHeight="1">
      <c r="E997" s="59"/>
    </row>
    <row r="998" ht="15.75" customHeight="1">
      <c r="E998" s="59"/>
    </row>
    <row r="999" ht="15.75" customHeight="1">
      <c r="E999" s="59"/>
    </row>
    <row r="1000" ht="15.75" customHeight="1">
      <c r="E1000" s="5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2025-07-02T08:13:22Z</dcterms:created>
</cp:coreProperties>
</file>