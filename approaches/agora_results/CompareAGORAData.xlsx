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E:\ThacSi\RBCTest_2\approaches\agora_data\"/>
    </mc:Choice>
  </mc:AlternateContent>
  <xr:revisionPtr revIDLastSave="0" documentId="13_ncr:1_{C492E30A-89BB-438E-883F-D9A73E782E3F}" xr6:coauthVersionLast="45" xr6:coauthVersionMax="45" xr10:uidLastSave="{00000000-0000-0000-0000-000000000000}"/>
  <bookViews>
    <workbookView xWindow="-60" yWindow="-60" windowWidth="28920" windowHeight="15600" xr2:uid="{00000000-000D-0000-FFFF-FFFF00000000}"/>
  </bookViews>
  <sheets>
    <sheet name="Mining" sheetId="1" r:id="rId1"/>
    <sheet name="RestGen" sheetId="3" r:id="rId2"/>
    <sheet name="GHCreateOrganizationRepository" sheetId="4" r:id="rId3"/>
    <sheet name="GHGetOrganizationRepositories" sheetId="5" r:id="rId4"/>
    <sheet name="Hotel Search" sheetId="6" r:id="rId5"/>
    <sheet name="Marvel getComicById" sheetId="7" r:id="rId6"/>
    <sheet name="OMDB byIdOrTitle" sheetId="8" r:id="rId7"/>
    <sheet name="OMDB bySearch" sheetId="9" r:id="rId8"/>
    <sheet name="Spotify createPlaylist" sheetId="10" r:id="rId9"/>
    <sheet name="Spotify getAlbumTracks" sheetId="11" r:id="rId10"/>
    <sheet name="Spotify getArtistAlbums" sheetId="12" r:id="rId11"/>
    <sheet name="Yelp getBusinesses" sheetId="13" r:id="rId12"/>
    <sheet name="Youtube GetVideos" sheetId="14" r:id="rId13"/>
  </sheets>
  <definedNames>
    <definedName name="_xlnm._FilterDatabase" localSheetId="2" hidden="1">GHCreateOrganizationRepository!$A$1:$E$48</definedName>
    <definedName name="_xlnm._FilterDatabase" localSheetId="3" hidden="1">GHGetOrganizationRepositories!$A$1:$E$41</definedName>
    <definedName name="_xlnm._FilterDatabase" localSheetId="4" hidden="1">'Hotel Search'!$A$1:$E$11</definedName>
    <definedName name="_xlnm._FilterDatabase" localSheetId="5" hidden="1">'Marvel getComicById'!$A$1:$E$9</definedName>
    <definedName name="_xlnm._FilterDatabase" localSheetId="6" hidden="1">'OMDB byIdOrTitle'!$A$1:$E$8</definedName>
    <definedName name="_xlnm._FilterDatabase" localSheetId="7" hidden="1">'OMDB bySearch'!$A$1:$E$4</definedName>
    <definedName name="_xlnm._FilterDatabase" localSheetId="8" hidden="1">'Spotify createPlaylist'!$A$1:$E$11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2">
      <go:sheetsCustomData xmlns:go="http://customooxmlschemas.google.com/" r:id="rId18" roundtripDataChecksum="Lp6urjflqlIK6pU3hCvzIDK9+JIjQjNTAHvTIAYOmaE="/>
    </ext>
  </extLst>
</workbook>
</file>

<file path=xl/calcChain.xml><?xml version="1.0" encoding="utf-8"?>
<calcChain xmlns="http://schemas.openxmlformats.org/spreadsheetml/2006/main">
  <c r="O14" i="3" l="1"/>
  <c r="N14" i="3"/>
  <c r="M14" i="3"/>
  <c r="L14" i="3"/>
  <c r="K14" i="3"/>
  <c r="J14" i="3"/>
  <c r="I14" i="3"/>
  <c r="H14" i="3"/>
  <c r="D14" i="3"/>
  <c r="F14" i="3" s="1"/>
  <c r="C14" i="3"/>
  <c r="E14" i="3" s="1"/>
  <c r="B14" i="3"/>
  <c r="J13" i="3"/>
  <c r="G13" i="3"/>
  <c r="F13" i="3"/>
  <c r="E13" i="3"/>
  <c r="D13" i="3"/>
  <c r="C13" i="3"/>
  <c r="J12" i="3"/>
  <c r="F12" i="3"/>
  <c r="G12" i="3" s="1"/>
  <c r="E12" i="3"/>
  <c r="D12" i="3"/>
  <c r="C12" i="3"/>
  <c r="J11" i="3"/>
  <c r="F11" i="3"/>
  <c r="E11" i="3"/>
  <c r="G11" i="3" s="1"/>
  <c r="D11" i="3"/>
  <c r="C11" i="3"/>
  <c r="J10" i="3"/>
  <c r="F10" i="3"/>
  <c r="G10" i="3" s="1"/>
  <c r="E10" i="3"/>
  <c r="D10" i="3"/>
  <c r="C10" i="3"/>
  <c r="J9" i="3"/>
  <c r="F9" i="3"/>
  <c r="G9" i="3" s="1"/>
  <c r="E9" i="3"/>
  <c r="D9" i="3"/>
  <c r="C9" i="3"/>
  <c r="J8" i="3"/>
  <c r="F8" i="3"/>
  <c r="G8" i="3" s="1"/>
  <c r="E8" i="3"/>
  <c r="D8" i="3"/>
  <c r="C8" i="3"/>
  <c r="J7" i="3"/>
  <c r="G7" i="3"/>
  <c r="F7" i="3"/>
  <c r="E7" i="3"/>
  <c r="D7" i="3"/>
  <c r="C7" i="3"/>
  <c r="J6" i="3"/>
  <c r="G6" i="3"/>
  <c r="F6" i="3"/>
  <c r="E6" i="3"/>
  <c r="D6" i="3"/>
  <c r="C6" i="3"/>
  <c r="J5" i="3"/>
  <c r="G5" i="3"/>
  <c r="F5" i="3"/>
  <c r="E5" i="3"/>
  <c r="D5" i="3"/>
  <c r="C5" i="3"/>
  <c r="J4" i="3"/>
  <c r="F4" i="3"/>
  <c r="G4" i="3" s="1"/>
  <c r="E4" i="3"/>
  <c r="D4" i="3"/>
  <c r="C4" i="3"/>
  <c r="J3" i="3"/>
  <c r="F3" i="3"/>
  <c r="E3" i="3"/>
  <c r="G3" i="3" s="1"/>
  <c r="D3" i="3"/>
  <c r="C3" i="3"/>
  <c r="K109" i="1"/>
  <c r="L109" i="1" s="1"/>
  <c r="J109" i="1"/>
  <c r="I109" i="1"/>
  <c r="R108" i="1"/>
  <c r="L108" i="1"/>
  <c r="G108" i="1"/>
  <c r="F108" i="1"/>
  <c r="E108" i="1"/>
  <c r="H108" i="1" s="1"/>
  <c r="D108" i="1"/>
  <c r="C108" i="1"/>
  <c r="L107" i="1"/>
  <c r="F107" i="1"/>
  <c r="E107" i="1"/>
  <c r="H107" i="1" s="1"/>
  <c r="D107" i="1"/>
  <c r="R107" i="1" s="1"/>
  <c r="C107" i="1"/>
  <c r="R106" i="1"/>
  <c r="L106" i="1"/>
  <c r="G106" i="1"/>
  <c r="F106" i="1"/>
  <c r="E106" i="1"/>
  <c r="H106" i="1" s="1"/>
  <c r="D106" i="1"/>
  <c r="C106" i="1"/>
  <c r="L105" i="1"/>
  <c r="F105" i="1"/>
  <c r="E105" i="1"/>
  <c r="H105" i="1" s="1"/>
  <c r="D105" i="1"/>
  <c r="R105" i="1" s="1"/>
  <c r="C105" i="1"/>
  <c r="C109" i="1" s="1"/>
  <c r="R104" i="1"/>
  <c r="L104" i="1"/>
  <c r="G104" i="1"/>
  <c r="F104" i="1"/>
  <c r="E104" i="1"/>
  <c r="H104" i="1" s="1"/>
  <c r="D104" i="1"/>
  <c r="C104" i="1"/>
  <c r="L103" i="1"/>
  <c r="F103" i="1"/>
  <c r="E103" i="1"/>
  <c r="H103" i="1" s="1"/>
  <c r="D103" i="1"/>
  <c r="R103" i="1" s="1"/>
  <c r="C103" i="1"/>
  <c r="R102" i="1"/>
  <c r="L102" i="1"/>
  <c r="G102" i="1"/>
  <c r="F102" i="1"/>
  <c r="E102" i="1"/>
  <c r="H102" i="1" s="1"/>
  <c r="D102" i="1"/>
  <c r="C102" i="1"/>
  <c r="L101" i="1"/>
  <c r="F101" i="1"/>
  <c r="E101" i="1"/>
  <c r="H101" i="1" s="1"/>
  <c r="D101" i="1"/>
  <c r="R101" i="1" s="1"/>
  <c r="C101" i="1"/>
  <c r="R100" i="1"/>
  <c r="L100" i="1"/>
  <c r="G100" i="1"/>
  <c r="F100" i="1"/>
  <c r="E100" i="1"/>
  <c r="H100" i="1" s="1"/>
  <c r="D100" i="1"/>
  <c r="C100" i="1"/>
  <c r="L99" i="1"/>
  <c r="F99" i="1"/>
  <c r="F109" i="1" s="1"/>
  <c r="E99" i="1"/>
  <c r="H99" i="1" s="1"/>
  <c r="D99" i="1"/>
  <c r="R99" i="1" s="1"/>
  <c r="C99" i="1"/>
  <c r="R98" i="1"/>
  <c r="L98" i="1"/>
  <c r="G98" i="1"/>
  <c r="F98" i="1"/>
  <c r="E98" i="1"/>
  <c r="H98" i="1" s="1"/>
  <c r="D98" i="1"/>
  <c r="C98" i="1"/>
  <c r="O93" i="1"/>
  <c r="N93" i="1"/>
  <c r="M93" i="1"/>
  <c r="K93" i="1"/>
  <c r="L93" i="1" s="1"/>
  <c r="J93" i="1"/>
  <c r="I93" i="1"/>
  <c r="H93" i="1"/>
  <c r="F93" i="1"/>
  <c r="E93" i="1"/>
  <c r="D93" i="1"/>
  <c r="C93" i="1"/>
  <c r="Q92" i="1"/>
  <c r="P92" i="1"/>
  <c r="L92" i="1"/>
  <c r="H92" i="1"/>
  <c r="G92" i="1"/>
  <c r="Q91" i="1"/>
  <c r="P91" i="1"/>
  <c r="L91" i="1"/>
  <c r="H91" i="1"/>
  <c r="G91" i="1"/>
  <c r="Q90" i="1"/>
  <c r="P90" i="1"/>
  <c r="L90" i="1"/>
  <c r="H90" i="1"/>
  <c r="G90" i="1"/>
  <c r="Q89" i="1"/>
  <c r="P89" i="1"/>
  <c r="L89" i="1"/>
  <c r="H89" i="1"/>
  <c r="G89" i="1"/>
  <c r="Q88" i="1"/>
  <c r="P88" i="1"/>
  <c r="L88" i="1"/>
  <c r="H88" i="1"/>
  <c r="G88" i="1"/>
  <c r="Q87" i="1"/>
  <c r="P87" i="1"/>
  <c r="L87" i="1"/>
  <c r="H87" i="1"/>
  <c r="G87" i="1"/>
  <c r="Q86" i="1"/>
  <c r="P86" i="1"/>
  <c r="L86" i="1"/>
  <c r="H86" i="1"/>
  <c r="G86" i="1"/>
  <c r="Q85" i="1"/>
  <c r="P85" i="1"/>
  <c r="L85" i="1"/>
  <c r="H85" i="1"/>
  <c r="G85" i="1"/>
  <c r="Q84" i="1"/>
  <c r="P84" i="1"/>
  <c r="L84" i="1"/>
  <c r="H84" i="1"/>
  <c r="G84" i="1"/>
  <c r="Q83" i="1"/>
  <c r="P83" i="1"/>
  <c r="L83" i="1"/>
  <c r="H83" i="1"/>
  <c r="G83" i="1"/>
  <c r="Q82" i="1"/>
  <c r="Q93" i="1" s="1"/>
  <c r="P82" i="1"/>
  <c r="P93" i="1" s="1"/>
  <c r="L82" i="1"/>
  <c r="H82" i="1"/>
  <c r="G82" i="1"/>
  <c r="G93" i="1" s="1"/>
  <c r="O77" i="1"/>
  <c r="N77" i="1"/>
  <c r="M77" i="1"/>
  <c r="K77" i="1"/>
  <c r="L77" i="1" s="1"/>
  <c r="J77" i="1"/>
  <c r="I77" i="1"/>
  <c r="F77" i="1"/>
  <c r="E77" i="1"/>
  <c r="D77" i="1"/>
  <c r="C77" i="1"/>
  <c r="Q76" i="1"/>
  <c r="P76" i="1"/>
  <c r="L76" i="1"/>
  <c r="H76" i="1"/>
  <c r="G76" i="1"/>
  <c r="Q75" i="1"/>
  <c r="P75" i="1"/>
  <c r="L75" i="1"/>
  <c r="H75" i="1"/>
  <c r="G75" i="1"/>
  <c r="Q74" i="1"/>
  <c r="P74" i="1"/>
  <c r="L74" i="1"/>
  <c r="H74" i="1"/>
  <c r="G74" i="1"/>
  <c r="Q73" i="1"/>
  <c r="P73" i="1"/>
  <c r="L73" i="1"/>
  <c r="H73" i="1"/>
  <c r="G73" i="1"/>
  <c r="Q72" i="1"/>
  <c r="P72" i="1"/>
  <c r="L72" i="1"/>
  <c r="H72" i="1"/>
  <c r="G72" i="1"/>
  <c r="Q71" i="1"/>
  <c r="P71" i="1"/>
  <c r="L71" i="1"/>
  <c r="H71" i="1"/>
  <c r="G71" i="1"/>
  <c r="Q70" i="1"/>
  <c r="P70" i="1"/>
  <c r="L70" i="1"/>
  <c r="H70" i="1"/>
  <c r="G70" i="1"/>
  <c r="Q69" i="1"/>
  <c r="P69" i="1"/>
  <c r="P77" i="1" s="1"/>
  <c r="L69" i="1"/>
  <c r="H69" i="1"/>
  <c r="G69" i="1"/>
  <c r="Q68" i="1"/>
  <c r="P68" i="1"/>
  <c r="L68" i="1"/>
  <c r="H68" i="1"/>
  <c r="G68" i="1"/>
  <c r="Q67" i="1"/>
  <c r="P67" i="1"/>
  <c r="L67" i="1"/>
  <c r="H67" i="1"/>
  <c r="H77" i="1" s="1"/>
  <c r="G67" i="1"/>
  <c r="Q66" i="1"/>
  <c r="Q77" i="1" s="1"/>
  <c r="P66" i="1"/>
  <c r="L66" i="1"/>
  <c r="H66" i="1"/>
  <c r="G66" i="1"/>
  <c r="G77" i="1" s="1"/>
  <c r="O61" i="1"/>
  <c r="N61" i="1"/>
  <c r="M61" i="1"/>
  <c r="K61" i="1"/>
  <c r="L61" i="1" s="1"/>
  <c r="J61" i="1"/>
  <c r="I61" i="1"/>
  <c r="F61" i="1"/>
  <c r="E61" i="1"/>
  <c r="D61" i="1"/>
  <c r="C61" i="1"/>
  <c r="Q60" i="1"/>
  <c r="P60" i="1"/>
  <c r="L60" i="1"/>
  <c r="H60" i="1"/>
  <c r="G60" i="1"/>
  <c r="Q59" i="1"/>
  <c r="P59" i="1"/>
  <c r="L59" i="1"/>
  <c r="H59" i="1"/>
  <c r="G59" i="1"/>
  <c r="Q58" i="1"/>
  <c r="P58" i="1"/>
  <c r="L58" i="1"/>
  <c r="H58" i="1"/>
  <c r="G58" i="1"/>
  <c r="Q57" i="1"/>
  <c r="P57" i="1"/>
  <c r="L57" i="1"/>
  <c r="H57" i="1"/>
  <c r="G57" i="1"/>
  <c r="Q56" i="1"/>
  <c r="P56" i="1"/>
  <c r="L56" i="1"/>
  <c r="H56" i="1"/>
  <c r="G56" i="1"/>
  <c r="Q55" i="1"/>
  <c r="P55" i="1"/>
  <c r="L55" i="1"/>
  <c r="H55" i="1"/>
  <c r="G55" i="1"/>
  <c r="Q54" i="1"/>
  <c r="P54" i="1"/>
  <c r="L54" i="1"/>
  <c r="H54" i="1"/>
  <c r="G54" i="1"/>
  <c r="Q53" i="1"/>
  <c r="P53" i="1"/>
  <c r="L53" i="1"/>
  <c r="H53" i="1"/>
  <c r="G53" i="1"/>
  <c r="Q52" i="1"/>
  <c r="P52" i="1"/>
  <c r="L52" i="1"/>
  <c r="H52" i="1"/>
  <c r="H61" i="1" s="1"/>
  <c r="G52" i="1"/>
  <c r="G61" i="1" s="1"/>
  <c r="Q51" i="1"/>
  <c r="Q61" i="1" s="1"/>
  <c r="P51" i="1"/>
  <c r="P61" i="1" s="1"/>
  <c r="L51" i="1"/>
  <c r="H51" i="1"/>
  <c r="G51" i="1"/>
  <c r="Q50" i="1"/>
  <c r="P50" i="1"/>
  <c r="L50" i="1"/>
  <c r="H50" i="1"/>
  <c r="G50" i="1"/>
  <c r="O45" i="1"/>
  <c r="N45" i="1"/>
  <c r="M45" i="1"/>
  <c r="K45" i="1"/>
  <c r="J45" i="1"/>
  <c r="L45" i="1" s="1"/>
  <c r="I45" i="1"/>
  <c r="F45" i="1"/>
  <c r="E45" i="1"/>
  <c r="D45" i="1"/>
  <c r="C45" i="1"/>
  <c r="Q44" i="1"/>
  <c r="P44" i="1"/>
  <c r="L44" i="1"/>
  <c r="H44" i="1"/>
  <c r="G44" i="1"/>
  <c r="Q43" i="1"/>
  <c r="P43" i="1"/>
  <c r="L43" i="1"/>
  <c r="H43" i="1"/>
  <c r="G43" i="1"/>
  <c r="Q42" i="1"/>
  <c r="P42" i="1"/>
  <c r="L42" i="1"/>
  <c r="H42" i="1"/>
  <c r="G42" i="1"/>
  <c r="Q41" i="1"/>
  <c r="P41" i="1"/>
  <c r="L41" i="1"/>
  <c r="H41" i="1"/>
  <c r="G41" i="1"/>
  <c r="Q40" i="1"/>
  <c r="P40" i="1"/>
  <c r="L40" i="1"/>
  <c r="H40" i="1"/>
  <c r="G40" i="1"/>
  <c r="Q39" i="1"/>
  <c r="P39" i="1"/>
  <c r="L39" i="1"/>
  <c r="H39" i="1"/>
  <c r="G39" i="1"/>
  <c r="Q38" i="1"/>
  <c r="P38" i="1"/>
  <c r="L38" i="1"/>
  <c r="H38" i="1"/>
  <c r="G38" i="1"/>
  <c r="Q37" i="1"/>
  <c r="P37" i="1"/>
  <c r="L37" i="1"/>
  <c r="H37" i="1"/>
  <c r="G37" i="1"/>
  <c r="Q36" i="1"/>
  <c r="P36" i="1"/>
  <c r="L36" i="1"/>
  <c r="H36" i="1"/>
  <c r="G36" i="1"/>
  <c r="Q35" i="1"/>
  <c r="P35" i="1"/>
  <c r="L35" i="1"/>
  <c r="H35" i="1"/>
  <c r="G35" i="1"/>
  <c r="Q34" i="1"/>
  <c r="Q45" i="1" s="1"/>
  <c r="P34" i="1"/>
  <c r="P45" i="1" s="1"/>
  <c r="L34" i="1"/>
  <c r="H34" i="1"/>
  <c r="H45" i="1" s="1"/>
  <c r="H110" i="1" s="1"/>
  <c r="G34" i="1"/>
  <c r="G45" i="1" s="1"/>
  <c r="K29" i="1"/>
  <c r="L29" i="1" s="1"/>
  <c r="J29" i="1"/>
  <c r="I29" i="1"/>
  <c r="F29" i="1"/>
  <c r="E29" i="1"/>
  <c r="D29" i="1"/>
  <c r="C29" i="1"/>
  <c r="L28" i="1"/>
  <c r="H28" i="1"/>
  <c r="G28" i="1"/>
  <c r="L27" i="1"/>
  <c r="H27" i="1"/>
  <c r="G27" i="1"/>
  <c r="L26" i="1"/>
  <c r="H26" i="1"/>
  <c r="G26" i="1"/>
  <c r="L25" i="1"/>
  <c r="H25" i="1"/>
  <c r="G25" i="1"/>
  <c r="L24" i="1"/>
  <c r="H24" i="1"/>
  <c r="G24" i="1"/>
  <c r="L23" i="1"/>
  <c r="H23" i="1"/>
  <c r="G23" i="1"/>
  <c r="L22" i="1"/>
  <c r="H22" i="1"/>
  <c r="G22" i="1"/>
  <c r="L21" i="1"/>
  <c r="H21" i="1"/>
  <c r="H29" i="1" s="1"/>
  <c r="G21" i="1"/>
  <c r="L20" i="1"/>
  <c r="H20" i="1"/>
  <c r="G20" i="1"/>
  <c r="G29" i="1" s="1"/>
  <c r="L19" i="1"/>
  <c r="H19" i="1"/>
  <c r="G19" i="1"/>
  <c r="L18" i="1"/>
  <c r="H18" i="1"/>
  <c r="G18" i="1"/>
  <c r="K14" i="1"/>
  <c r="L14" i="1" s="1"/>
  <c r="J14" i="1"/>
  <c r="I14" i="1"/>
  <c r="F14" i="1"/>
  <c r="E14" i="1"/>
  <c r="D14" i="1"/>
  <c r="C14" i="1"/>
  <c r="L13" i="1"/>
  <c r="H13" i="1"/>
  <c r="G13" i="1"/>
  <c r="L12" i="1"/>
  <c r="H12" i="1"/>
  <c r="G12" i="1"/>
  <c r="L11" i="1"/>
  <c r="H11" i="1"/>
  <c r="G11" i="1"/>
  <c r="L10" i="1"/>
  <c r="H10" i="1"/>
  <c r="G10" i="1"/>
  <c r="L9" i="1"/>
  <c r="H9" i="1"/>
  <c r="G9" i="1"/>
  <c r="L8" i="1"/>
  <c r="H8" i="1"/>
  <c r="G8" i="1"/>
  <c r="L7" i="1"/>
  <c r="H7" i="1"/>
  <c r="G7" i="1"/>
  <c r="L6" i="1"/>
  <c r="H6" i="1"/>
  <c r="G6" i="1"/>
  <c r="L5" i="1"/>
  <c r="H5" i="1"/>
  <c r="G5" i="1"/>
  <c r="L4" i="1"/>
  <c r="H4" i="1"/>
  <c r="G4" i="1"/>
  <c r="L3" i="1"/>
  <c r="H3" i="1"/>
  <c r="G3" i="1"/>
  <c r="N22" i="1"/>
  <c r="M18" i="1"/>
  <c r="M3" i="1"/>
  <c r="M23" i="1"/>
  <c r="N18" i="1"/>
  <c r="N7" i="1"/>
  <c r="O23" i="1"/>
  <c r="O10" i="1"/>
  <c r="O28" i="1"/>
  <c r="N20" i="1"/>
  <c r="O5" i="1"/>
  <c r="O7" i="1"/>
  <c r="O6" i="1"/>
  <c r="O21" i="1"/>
  <c r="O12" i="1"/>
  <c r="M19" i="1"/>
  <c r="N23" i="1"/>
  <c r="O26" i="1"/>
  <c r="O24" i="1"/>
  <c r="M12" i="1"/>
  <c r="N19" i="1"/>
  <c r="M11" i="1"/>
  <c r="O9" i="1"/>
  <c r="N9" i="1"/>
  <c r="N5" i="1"/>
  <c r="O22" i="1"/>
  <c r="M10" i="1"/>
  <c r="O4" i="1"/>
  <c r="O3" i="1"/>
  <c r="M8" i="1"/>
  <c r="M13" i="1"/>
  <c r="M21" i="1"/>
  <c r="O20" i="1"/>
  <c r="O18" i="1"/>
  <c r="M6" i="1"/>
  <c r="N13" i="1"/>
  <c r="O27" i="1"/>
  <c r="M4" i="1"/>
  <c r="M9" i="1"/>
  <c r="O13" i="1"/>
  <c r="N12" i="1"/>
  <c r="N10" i="1"/>
  <c r="O25" i="1"/>
  <c r="N3" i="1"/>
  <c r="N8" i="1"/>
  <c r="N6" i="1"/>
  <c r="M5" i="1"/>
  <c r="N11" i="1"/>
  <c r="N27" i="1"/>
  <c r="M28" i="1"/>
  <c r="N21" i="1"/>
  <c r="N25" i="1"/>
  <c r="M26" i="1"/>
  <c r="N4" i="1"/>
  <c r="O8" i="1"/>
  <c r="N28" i="1"/>
  <c r="M24" i="1"/>
  <c r="O11" i="1"/>
  <c r="M7" i="1"/>
  <c r="M22" i="1"/>
  <c r="O19" i="1"/>
  <c r="M27" i="1"/>
  <c r="M20" i="1"/>
  <c r="M25" i="1"/>
  <c r="N26" i="1"/>
  <c r="N24" i="1"/>
  <c r="H109" i="1" l="1"/>
  <c r="G110" i="1"/>
  <c r="D109" i="1"/>
  <c r="E109" i="1"/>
  <c r="G99" i="1"/>
  <c r="G101" i="1"/>
  <c r="G103" i="1"/>
  <c r="G105" i="1"/>
  <c r="G107" i="1"/>
  <c r="G14" i="1"/>
  <c r="H14" i="1"/>
  <c r="Q12" i="1"/>
  <c r="P12" i="1"/>
  <c r="P6" i="1"/>
  <c r="Q6" i="1"/>
  <c r="M103" i="1"/>
  <c r="M105" i="1"/>
  <c r="M107" i="1"/>
  <c r="N103" i="1"/>
  <c r="N105" i="1"/>
  <c r="N107" i="1"/>
  <c r="P10" i="1"/>
  <c r="Q10" i="1"/>
  <c r="O103" i="1"/>
  <c r="Q23" i="1"/>
  <c r="P23" i="1"/>
  <c r="O107" i="1"/>
  <c r="Q27" i="1"/>
  <c r="P27" i="1"/>
  <c r="Q3" i="1"/>
  <c r="P3" i="1"/>
  <c r="O14" i="1"/>
  <c r="Q7" i="1"/>
  <c r="P7" i="1"/>
  <c r="M14" i="1"/>
  <c r="N14" i="1"/>
  <c r="Q19" i="1"/>
  <c r="P19" i="1"/>
  <c r="O99" i="1"/>
  <c r="Q11" i="1"/>
  <c r="P11" i="1"/>
  <c r="M101" i="1"/>
  <c r="N101" i="1"/>
  <c r="P13" i="1"/>
  <c r="Q13" i="1"/>
  <c r="M99" i="1"/>
  <c r="Q9" i="1"/>
  <c r="P9" i="1"/>
  <c r="Q4" i="1"/>
  <c r="P4" i="1"/>
  <c r="N99" i="1"/>
  <c r="O101" i="1"/>
  <c r="Q21" i="1"/>
  <c r="P21" i="1"/>
  <c r="P5" i="1"/>
  <c r="Q5" i="1"/>
  <c r="M29" i="1"/>
  <c r="M98" i="1"/>
  <c r="M100" i="1"/>
  <c r="M102" i="1"/>
  <c r="M104" i="1"/>
  <c r="M106" i="1"/>
  <c r="M108" i="1"/>
  <c r="O105" i="1"/>
  <c r="Q25" i="1"/>
  <c r="P25" i="1"/>
  <c r="N29" i="1"/>
  <c r="N98" i="1"/>
  <c r="N100" i="1"/>
  <c r="N102" i="1"/>
  <c r="N104" i="1"/>
  <c r="N106" i="1"/>
  <c r="N108" i="1"/>
  <c r="P8" i="1"/>
  <c r="Q8" i="1"/>
  <c r="O29" i="1"/>
  <c r="P18" i="1"/>
  <c r="O98" i="1"/>
  <c r="Q18" i="1"/>
  <c r="O100" i="1"/>
  <c r="Q20" i="1"/>
  <c r="P20" i="1"/>
  <c r="O102" i="1"/>
  <c r="P22" i="1"/>
  <c r="Q22" i="1"/>
  <c r="Q24" i="1"/>
  <c r="P24" i="1"/>
  <c r="O104" i="1"/>
  <c r="Q26" i="1"/>
  <c r="O106" i="1"/>
  <c r="P26" i="1"/>
  <c r="Q28" i="1"/>
  <c r="O108" i="1"/>
  <c r="P28" i="1"/>
  <c r="G14" i="3"/>
  <c r="G109" i="1" l="1"/>
  <c r="R109" i="1"/>
  <c r="M109" i="1"/>
  <c r="Q101" i="1"/>
  <c r="P101" i="1"/>
  <c r="Q105" i="1"/>
  <c r="P105" i="1"/>
  <c r="Q99" i="1"/>
  <c r="P99" i="1"/>
  <c r="N109" i="1"/>
  <c r="P14" i="1"/>
  <c r="Q106" i="1"/>
  <c r="P106" i="1"/>
  <c r="Q104" i="1"/>
  <c r="P104" i="1"/>
  <c r="Q102" i="1"/>
  <c r="P102" i="1"/>
  <c r="Q14" i="1"/>
  <c r="Q107" i="1"/>
  <c r="P107" i="1"/>
  <c r="Q100" i="1"/>
  <c r="P100" i="1"/>
  <c r="Q98" i="1"/>
  <c r="O109" i="1"/>
  <c r="P98" i="1"/>
  <c r="P29" i="1"/>
  <c r="Q103" i="1"/>
  <c r="P103" i="1"/>
  <c r="Q29" i="1"/>
  <c r="Q108" i="1"/>
  <c r="P108" i="1"/>
  <c r="P109" i="1" l="1"/>
  <c r="Q109" i="1"/>
</calcChain>
</file>

<file path=xl/sharedStrings.xml><?xml version="1.0" encoding="utf-8"?>
<sst xmlns="http://schemas.openxmlformats.org/spreadsheetml/2006/main" count="1070" uniqueCount="415">
  <si>
    <t>API</t>
  </si>
  <si>
    <t>RBC Test</t>
  </si>
  <si>
    <t>AGORA</t>
  </si>
  <si>
    <t>Overlapping</t>
  </si>
  <si>
    <t>Unique</t>
  </si>
  <si>
    <t>GT</t>
  </si>
  <si>
    <t>No.</t>
  </si>
  <si>
    <t>TP</t>
  </si>
  <si>
    <t>FN</t>
  </si>
  <si>
    <t>P</t>
  </si>
  <si>
    <t>Recall</t>
  </si>
  <si>
    <t>No.I</t>
  </si>
  <si>
    <t>R</t>
  </si>
  <si>
    <t>A</t>
  </si>
  <si>
    <t>=</t>
  </si>
  <si>
    <t>Github</t>
  </si>
  <si>
    <t>GHCreateOrganizationRepository</t>
  </si>
  <si>
    <t>Github'</t>
  </si>
  <si>
    <t>GHGetOrganizationRepositories</t>
  </si>
  <si>
    <t>A.Hotel</t>
  </si>
  <si>
    <t>Hotel Search</t>
  </si>
  <si>
    <t>Marvel</t>
  </si>
  <si>
    <t>Marvel getComicById</t>
  </si>
  <si>
    <t>OMDB</t>
  </si>
  <si>
    <t>OMDB byIdOrTitle</t>
  </si>
  <si>
    <t>OMDB'</t>
  </si>
  <si>
    <t>OMDB bySearch</t>
  </si>
  <si>
    <t>Spotify</t>
  </si>
  <si>
    <t>Spotify createPlaylist</t>
  </si>
  <si>
    <t>Spotify'</t>
  </si>
  <si>
    <t>Spotify getAlbumTracks</t>
  </si>
  <si>
    <t>Spotify''</t>
  </si>
  <si>
    <t>Spotify getArtistAlbums</t>
  </si>
  <si>
    <t>Yelp</t>
  </si>
  <si>
    <t>Yelp getBusinesses</t>
  </si>
  <si>
    <t>Youtube</t>
  </si>
  <si>
    <t>Youtube GetVideos</t>
  </si>
  <si>
    <t>Total</t>
  </si>
  <si>
    <t xml:space="preserve"> </t>
  </si>
  <si>
    <t>Final</t>
  </si>
  <si>
    <t>FP</t>
  </si>
  <si>
    <t xml:space="preserve">Rest Gen </t>
  </si>
  <si>
    <t>Test Out</t>
  </si>
  <si>
    <t xml:space="preserve"> FP </t>
  </si>
  <si>
    <t xml:space="preserve">FN </t>
  </si>
  <si>
    <t>P%</t>
  </si>
  <si>
    <t xml:space="preserve"> R%</t>
  </si>
  <si>
    <t xml:space="preserve"> F1%</t>
  </si>
  <si>
    <t xml:space="preserve">N  </t>
  </si>
  <si>
    <t>✓</t>
  </si>
  <si>
    <t xml:space="preserve">✓ </t>
  </si>
  <si>
    <t>×</t>
  </si>
  <si>
    <t>?</t>
  </si>
  <si>
    <t>Total Constraint</t>
  </si>
  <si>
    <t xml:space="preserve">Note: </t>
  </si>
  <si>
    <t>N (sô lượng constraint  tp =1)
✓(số lượng test case lọc đúng)
P% (match + unknown)/(N)
✓ (match)
× (unmatch)
? (unknown)</t>
  </si>
  <si>
    <t>endpoint</t>
  </si>
  <si>
    <t>group</t>
  </si>
  <si>
    <t>invariant</t>
  </si>
  <si>
    <t>description</t>
  </si>
  <si>
    <t>better</t>
  </si>
  <si>
    <t>post+orgs_{org}_repos</t>
  </si>
  <si>
    <t>archive_url</t>
  </si>
  <si>
    <t>return.archive_url is Url</t>
  </si>
  <si>
    <t>{"type": "string", "example": "http://api.github.com/repos/octocat/Hello-World/{archive_format}{/ref}"}</t>
  </si>
  <si>
    <t>assignees_url</t>
  </si>
  <si>
    <t>return.assignees_url is Url</t>
  </si>
  <si>
    <t>{"type": "string", "example": "http://api.github.com/repos/octocat/Hello-World/assignees{/user}"}</t>
  </si>
  <si>
    <t>blobs_url</t>
  </si>
  <si>
    <t>return.blobs_url is Url</t>
  </si>
  <si>
    <t>{"type": "string", "example": "http://api.github.com/repos/octocat/Hello-World/git/blobs{/sha}"}</t>
  </si>
  <si>
    <t>branches_url</t>
  </si>
  <si>
    <t>return.branches_url is Url</t>
  </si>
  <si>
    <t>{"type": "string", "example": "http://api.github.com/repos/octocat/Hello-World/branches{/branch}"}</t>
  </si>
  <si>
    <t>clone_url</t>
  </si>
  <si>
    <t>return.clone_url is Url</t>
  </si>
  <si>
    <t>{"type": "string", "example": "https://github.com/octocat/Hello-World.git"}</t>
  </si>
  <si>
    <t>collaborators_url</t>
  </si>
  <si>
    <t>return.collaborators_url is Url</t>
  </si>
  <si>
    <t>{"type": "string", "example": "http://api.github.com/repos/octocat/Hello-World/collaborators{/collaborator}"}</t>
  </si>
  <si>
    <t>comments_url</t>
  </si>
  <si>
    <t>return.comments_url is Url</t>
  </si>
  <si>
    <t>{"type": "string", "example": "http://api.github.com/repos/octocat/Hello-World/comments{/number}"}</t>
  </si>
  <si>
    <t>compare_url</t>
  </si>
  <si>
    <t>return.compare_url is Url</t>
  </si>
  <si>
    <t>{"type": "string", "example": "http://api.github.com/repos/octocat/Hello-World/compare/{base}...{head}"}</t>
  </si>
  <si>
    <t>created_at</t>
  </si>
  <si>
    <t>LENGTH(return.created_at)==20
 return.created_at is Timestamp. Format: YYYY-MM-DDTHH:MM:SS.mmZ (Miliseconds are optional)</t>
  </si>
  <si>
    <t>{"type": "string", "format": "date-time"}</t>
  </si>
  <si>
    <t>delete_branch_on_merge</t>
  </si>
  <si>
    <t>input.delete_branch_on_merge == return.delete_branch_on_merge</t>
  </si>
  <si>
    <t>Attribute delete_branch_on_merge is responded to by parameter delete_branch_on_merge with a description: Either `true` to allow automatically deleting head branches when pull requests are merged, or `false` to prevent automatic deletion</t>
  </si>
  <si>
    <t>deployments_url</t>
  </si>
  <si>
    <t>return.deployments_url is Url</t>
  </si>
  <si>
    <t>{"type": "string", "format": "uri"}</t>
  </si>
  <si>
    <t>input.description == return.description</t>
  </si>
  <si>
    <t>Attribute description is responded to by parameter description with a description: A short description of the repository</t>
  </si>
  <si>
    <t>downloads_url</t>
  </si>
  <si>
    <t>return.downloads_url is Url</t>
  </si>
  <si>
    <t>events_url</t>
  </si>
  <si>
    <t>return.events_url is Url</t>
  </si>
  <si>
    <t>forks_url</t>
  </si>
  <si>
    <t>return.forks_url is Url</t>
  </si>
  <si>
    <t>git_commits_url</t>
  </si>
  <si>
    <t>return.git_commits_url is Url</t>
  </si>
  <si>
    <t>{"type": "string", "example": "http://api.github.com/repos/octocat/Hello-World/git/commits{/sha}"}</t>
  </si>
  <si>
    <t>git_refs_url</t>
  </si>
  <si>
    <t>return.git_refs_url is Url</t>
  </si>
  <si>
    <t>{"type": "string", "example": "http://api.github.com/repos/octocat/Hello-World/git/refs{/sha}"}</t>
  </si>
  <si>
    <t>has_wiki</t>
  </si>
  <si>
    <t>input.has_wiki == return.has_wiki</t>
  </si>
  <si>
    <t>Attribute has_wiki is responded to by parameter has_wiki with a description: Either `true` to enable the wiki for this repository or `false` to disable it</t>
  </si>
  <si>
    <t>homepage</t>
  </si>
  <si>
    <t>input.homepage == return.homepage</t>
  </si>
  <si>
    <t>Attribute homepage is responded to by parameter homepage with a description: A URL with more information about the repository
 {"type": "string", "format": "uri"}</t>
  </si>
  <si>
    <t>hooks_url</t>
  </si>
  <si>
    <t>return.hooks_url is Url</t>
  </si>
  <si>
    <t>html_url</t>
  </si>
  <si>
    <t>return.html_url == return.svn_url
 return.html_url is Url
 return.html_url is a substring of return.clone_url</t>
  </si>
  <si>
    <t>issue_events_url</t>
  </si>
  <si>
    <t>return.issue_events_url is Url</t>
  </si>
  <si>
    <t>{"type": "string", "example": "http://api.github.com/repos/octocat/Hello-World/issues/events{/number}"}</t>
  </si>
  <si>
    <t>issues_url</t>
  </si>
  <si>
    <t>return.issues_url is Url</t>
  </si>
  <si>
    <t>{"type": "string", "example": "http://api.github.com/repos/octocat/Hello-World/issues{/number}"}</t>
  </si>
  <si>
    <t>languages_url</t>
  </si>
  <si>
    <t>return.languages_url is Url</t>
  </si>
  <si>
    <t>license.url</t>
  </si>
  <si>
    <t>return.license.url is Url
 input.license_template is a substring of return.license.url</t>
  </si>
  <si>
    <t>milestones_url</t>
  </si>
  <si>
    <t>return.milestones_url is Url</t>
  </si>
  <si>
    <t>{"type": "string", "example": "http://api.github.com/repos/octocat/Hello-World/milestones{/number}"}</t>
  </si>
  <si>
    <t>owner.events_url</t>
  </si>
  <si>
    <t>return.owner.events_url == return.organization.events_url
 return.owner.events_url is Url</t>
  </si>
  <si>
    <t>{"type": "string", "example": "https://api.github.com/users/octocat/events{/privacy}"}</t>
  </si>
  <si>
    <t>owner.followers_url</t>
  </si>
  <si>
    <t>return.owner.followers_url == return.organization.followers_url
 return.owner.followers_url is Url</t>
  </si>
  <si>
    <t>owner.following_url</t>
  </si>
  <si>
    <t>return.owner.following_url == return.organization.following_url
 return.owner.following_url is Url</t>
  </si>
  <si>
    <t>{"type": "string", "example": "https://api.github.com/users/octocat/following{/other_user}"}</t>
  </si>
  <si>
    <t>owner.gists_url</t>
  </si>
  <si>
    <t>return.owner.gists_url == return.organization.gists_url
 return.owner.gists_url is Url</t>
  </si>
  <si>
    <t>{"type": "string", "example": "https://api.github.com/users/octocat/gists{/gist_id}"}</t>
  </si>
  <si>
    <t>owner.html_url</t>
  </si>
  <si>
    <t>return.owner.html_url == return.organization.html_url
 return.owner.html_url is Url
 input.org is a substring of return.owner.html_url
 return.owner.html_url is a substring of return.html_url</t>
  </si>
  <si>
    <t>owner.organizations_url</t>
  </si>
  <si>
    <t>return.owner.organizations_url == return.organization.organizations_url
 return.owner.organizations_url is Url</t>
  </si>
  <si>
    <t>owner.received_events_url</t>
  </si>
  <si>
    <t>return.owner.received_events_url == return.organization.received_events_url
 return.owner.received_events_url is Url</t>
  </si>
  <si>
    <t>owner.repos_url</t>
  </si>
  <si>
    <t>return.owner.repos_url == return.organization.repos_url
 return.owner.repos_url is Url</t>
  </si>
  <si>
    <t>owner.starred_url</t>
  </si>
  <si>
    <t>return.owner.starred_url == return.organization.starred_url
 return.owner.starred_url is Url</t>
  </si>
  <si>
    <t>{"type": "string", "example": "https://api.github.com/users/octocat/starred{/owner}{/repo}"}</t>
  </si>
  <si>
    <t>owner.subscriptions_url</t>
  </si>
  <si>
    <t>return.owner.subscriptions_url == return.organization.subscriptions_url
 return.owner.subscriptions_url is Url</t>
  </si>
  <si>
    <t>owner.url</t>
  </si>
  <si>
    <t>return.owner.url == return.organization.url
 return.owner.url is Url
 input.org is a substring of return.owner.url
 return.owner.url is a substring of return.owner.followers_url
 return.owner.url is a substring of return.owner.following_url
 return.owner.url is a substring of return.owner.gists_url
 return.owner.url is a substring of return.owner.starred_url
 return.owner.url is a substring of return.owner.subscriptions_url
 return.owner.url is a substring of return.owner.organizations_url
 return.owner.url is a substring of return.owner.repos_url
 return.owner.url is a substring of return.owner.events_url
 return.owner.url is a substring of return.owner.received_events_url</t>
  </si>
  <si>
    <t>pulls_url</t>
  </si>
  <si>
    <t>return.pulls_url is Url</t>
  </si>
  <si>
    <t>{"type": "string", "example": "http://api.github.com/repos/octocat/Hello-World/pulls{/number}"}</t>
  </si>
  <si>
    <t>stargazers_url</t>
  </si>
  <si>
    <t>return.stargazers_url is Url</t>
  </si>
  <si>
    <t>statuses_url</t>
  </si>
  <si>
    <t>return.statuses_url is Url</t>
  </si>
  <si>
    <t>{"type": "string", "example": "http://api.github.com/repos/octocat/Hello-World/statuses/{sha}"}</t>
  </si>
  <si>
    <t>subscribers_url</t>
  </si>
  <si>
    <t>return.subscribers_url is Url</t>
  </si>
  <si>
    <t>subscription_url</t>
  </si>
  <si>
    <t>return.subscription_url is Url</t>
  </si>
  <si>
    <t>tags_url</t>
  </si>
  <si>
    <t>return.tags_url is Url</t>
  </si>
  <si>
    <t>teams_url</t>
  </si>
  <si>
    <t>return.teams_url is Url</t>
  </si>
  <si>
    <t>updated_at</t>
  </si>
  <si>
    <t>LENGTH(return.updated_at)==20
 return.updated_at is Timestamp. Format: YYYY-MM-DDTHH:MM:SS.mmZ (Miliseconds are optional)</t>
  </si>
  <si>
    <t>url</t>
  </si>
  <si>
    <t>return.url is Url
 return.url is a substring of return.archive_url
 return.url is a substring of return.assignees_url
 return.url is a substring of return.blobs_url
 return.url is a substring of return.branches_url
 return.url is a substring of return.collaborators_url
 return.url is a substring of return.comments_url
 return.url is a substring of return.commits_url
 return.url is a substring of return.compare_url
 return.url is a substring of return.contents_url
 return.url is a substring of return.contributors_url
 return.url is a substring of return.deployments_url
 return.url is a substring of return.downloads_url
 return.url is a substring of return.events_url
 return.url is a substring of return.forks_url
 return.url is a substring of return.git_commits_url
 return.url is a substring of return.git_refs_url
 return.url is a substring of return.git_tags_url
 return.url is a substring of return.issue_comment_url
 return.url is a substring of return.issue_events_url
 return.url is a substring of return.issues_url
 return.url is a substring of return.keys_url
 return.url is a substring of return.labels_url
 return.url is a substring of return.languages_url
 return.url is a substring of return.merges_url
 return.url is a substring of return.milestones_url
 return.url is a substring of return.notifications_url
 return.url is a substring of return.pulls_url
 return.url is a substring of return.releases_url
 return.url is a substring of return.stargazers_url
 return.url is a substring of return.statuses_url
 return.url is a substring of return.subscribers_url
 return.url is a substring of return.subscription_url
 return.url is a substring of return.tags_url
 return.url is a substring of return.teams_url
 return.url is a substring of return.trees_url
 return.url is a substring of return.hooks_url</t>
  </si>
  <si>
    <t>visibility</t>
  </si>
  <si>
    <t>input.visibility == return.visibility</t>
  </si>
  <si>
    <t>Attribute visibility is responded to by parameter repository with a description: Can be `public` or `private`. If your organization is associated with an enterprise account using GitHub Enterprise Cloud or GitHub Enterprise Server 2.20+, `visibility` can also be `internal`. Note: For GitHub Enterprise Server and GitHub AE, this endpoint will only list repositories available to all users on the enterprise. For more information, see "[Creating an internal repository](https://help.github.com/en/github/creating-cloning-and-archiving-repositories/about-repository-visibility#about-internal-repositories)" in the GitHub Help documentation. 
 The `visibility` parameter overrides the `private` parameter when you use both parameters with the `nebula-preview` preview header
 The repository visibility: public, private, or internal</t>
  </si>
  <si>
    <t>get+orgs_{org}_repos</t>
  </si>
  <si>
    <t>return.license.url is Url</t>
  </si>
  <si>
    <t>return.owner.events_url is Url</t>
  </si>
  <si>
    <t>return.owner.followers_url is Url</t>
  </si>
  <si>
    <t>return.owner.following_url is Url</t>
  </si>
  <si>
    <t>return.owner.gists_url is Url</t>
  </si>
  <si>
    <t>return.owner.html_url is Url
 return.owner.html_url is a substring of return.html_url</t>
  </si>
  <si>
    <t>return.owner.organizations_url is Url</t>
  </si>
  <si>
    <t>return.owner.received_events_url is Url</t>
  </si>
  <si>
    <t>return.owner.repos_url is Url</t>
  </si>
  <si>
    <t>return.owner.starred_url is Url</t>
  </si>
  <si>
    <t>return.owner.subscriptions_url is Url</t>
  </si>
  <si>
    <t>return.owner.url is Url
 return.owner.url is a substring of return.owner.followers_url
 return.owner.url is a substring of return.owner.following_url
 return.owner.url is a substring of return.owner.gists_url
 return.owner.url is a substring of return.owner.starred_url
 return.owner.url is a substring of return.owner.subscriptions_url
 return.owner.url is a substring of return.owner.organizations_url
 return.owner.url is a substring of return.owner.repos_url
 return.owner.url is a substring of return.owner.events_url
 return.owner.url is a substring of return.owner.received_events_url</t>
  </si>
  <si>
    <t>get+shopping_hotel-offers</t>
  </si>
  <si>
    <t>data.hotel.hotelId</t>
  </si>
  <si>
    <t>LENGTH(return.hotel.hotelId)==8
 return.hotel.hotelId in input.hotelIds[]
 return.hotel.chainCode is a substring of return.hotel.hotelId
 return.hotel.cityCode is a substring of return.hotel.hotelId</t>
  </si>
  <si>
    <t>Amadeus Property Code (8 chars</t>
  </si>
  <si>
    <t>data.offers.checkOutDate</t>
  </si>
  <si>
    <t>input.checkOutDate == return.checkOutDate
 return.checkOutDate is a Date. Format: YYYY/MM/DD</t>
  </si>
  <si>
    <t>Attribute checkOutDate is responded to by parameter checkOutDate with a description: Check-out date of the stay (hotel local date). Format YYYY-MM-DD. The lowest accepted value is checkInDate+1. If not present, it will default to checkInDate +1
 check-out date of the stay (hotel local date</t>
  </si>
  <si>
    <t>data.offers.guests.adults</t>
  </si>
  <si>
    <t>input.adults == return.guests.adults</t>
  </si>
  <si>
    <t>Attribute adults is responded to by parameter adults with a description: Number of adult guests (1-9) per room</t>
  </si>
  <si>
    <t>data.offers.id</t>
  </si>
  <si>
    <t>LENGTH(return.id)==10
 return.id is a substring of return.self</t>
  </si>
  <si>
    <t>Unique identifier of this offer. Might be valid for a temporary period only, schema: {"type": "string", "minLength": 2, "maxLength": 100}</t>
  </si>
  <si>
    <t>data.offers.price.taxes.currency</t>
  </si>
  <si>
    <t>LENGTH(return.currency)==3</t>
  </si>
  <si>
    <t>Defines a monetary unit. It is a three alpha code (iata code</t>
  </si>
  <si>
    <t>data.offers.price.total</t>
  </si>
  <si>
    <t>return.price.total is Numeric</t>
  </si>
  <si>
    <t>Attribute priceRange is responded to by parameter price.total  with a description: Filter hotel offers by price per night interval (ex: 200-300 or -300 or 100).
 It is mandatory to include a currency when this field is set</t>
  </si>
  <si>
    <t>data.offers.price.variations.changes.endDate</t>
  </si>
  <si>
    <t>return.endDate is a Date. Format: YYYY/MM/DD</t>
  </si>
  <si>
    <t>End date of the period
 Format: YYYY-MM-DD, schema: {"type": "string", "format": "date"}</t>
  </si>
  <si>
    <t>data.offers.price.variations.changes.startDate</t>
  </si>
  <si>
    <t>return.startDate is a Date. Format: YYYY/MM/DD</t>
  </si>
  <si>
    <t>Begin date of the period
 Format: YYYY-MM-DD, schema: {"type": "string", "format": "date"}</t>
  </si>
  <si>
    <t>data.offers.room.type</t>
  </si>
  <si>
    <t>LENGTH(return.room.type)==3</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</si>
  <si>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</si>
  <si>
    <t>data.type</t>
  </si>
  <si>
    <t>return.type == "hotel-offers"
 LENGTH(return.type)==12
 return.type is a substring of return.self
 return.hotel.type is a substring of return.type</t>
  </si>
  <si>
    <t>the type of the object (hotel-offers</t>
  </si>
  <si>
    <t>get+v1_public_comics_{comicid}</t>
  </si>
  <si>
    <t>data.limit</t>
  </si>
  <si>
    <t>return.data.limit == 20</t>
  </si>
  <si>
    <t>The requested result limit, schema: {"type": "integer", "format": "int32"}</t>
  </si>
  <si>
    <t>data.results.creators.items.resourceURI</t>
  </si>
  <si>
    <t>return.resourceURI is Url</t>
  </si>
  <si>
    <t>The path to the individual creator resource</t>
  </si>
  <si>
    <t>data.results.diamondCode</t>
  </si>
  <si>
    <t>LENGTH(return.diamondCode)==9</t>
  </si>
  <si>
    <t>The Diamond code for the comic. schema: {"type": "string"} schema: {"type": "string"}</t>
  </si>
  <si>
    <t>data.results.id</t>
  </si>
  <si>
    <t>input.comicId == return.id</t>
  </si>
  <si>
    <t>Attribute comicId is responded to by parameter Comic with a description: A single comic
 The unique ID of the comic resource, schema: {"type": "integer", "format": "int32"}</t>
  </si>
  <si>
    <t>data.results.issn</t>
  </si>
  <si>
    <t>LENGTH(return.issn)==9</t>
  </si>
  <si>
    <t>The ISSN barcode for the comic</t>
  </si>
  <si>
    <t>data.results.resourceURI</t>
  </si>
  <si>
    <t>return.resourceURI is Url
 return.resourceURI is a substring of return.creators.collectionURI
 return.resourceURI is a substring of return.characters.collectionURI
 return.resourceURI is a substring of return.stories.collectionURI
 return.resourceURI is a substring of return.events.collectionURI</t>
  </si>
  <si>
    <t>The canonical URL identifier for this resource, schema: {"type": "string", "format": "uri"}</t>
  </si>
  <si>
    <t>data.results.urls.url</t>
  </si>
  <si>
    <t>return.url is Url</t>
  </si>
  <si>
    <t>A set of public web site URLs for the resource. schema: {"type": "array"} schema: {"type": "array"}</t>
  </si>
  <si>
    <t>data.total</t>
  </si>
  <si>
    <t>return.data.total == return.data.count
 return.data.total == size(return.data.results[])
 return.data.total == 1</t>
  </si>
  <si>
    <t>The total number of resources available given the current filter set, schema: {"type": "integer", "format": "int32"}</t>
  </si>
  <si>
    <t>get+</t>
  </si>
  <si>
    <t>DVD</t>
  </si>
  <si>
    <t>LENGTH(return.DVD)==11</t>
  </si>
  <si>
    <t>{"type": "string", "example": "01 Oct 2013"}</t>
  </si>
  <si>
    <t>Poster</t>
  </si>
  <si>
    <t>return.Poster is Url</t>
  </si>
  <si>
    <t>{"type": "string", "example": "https://m.media-amazon.com/images/M/MV5BMTQxODE3NjM1Ml5BMl5BanBnXkFtZTcwMzkzNjc4OA@@._V1_SX300.jpg"}</t>
  </si>
  <si>
    <t>Released</t>
  </si>
  <si>
    <t>LENGTH(return.Released)==11</t>
  </si>
  <si>
    <t>{"type": "string", "example": "12 Jun 2013"}</t>
  </si>
  <si>
    <t>Response</t>
  </si>
  <si>
    <t>return.Response == "True"
 LENGTH(return.Response)==4</t>
  </si>
  <si>
    <t>{"type": "string", "enum": ["True", "False"]}
 {"type": "string", "enum": ["True", "False"], "example": "True"} schema: {"type": "string", "enum": ["True", "False"], "example": "True"}</t>
  </si>
  <si>
    <t>Type</t>
  </si>
  <si>
    <t>return.Type one of { "episode", "movie", "series" }</t>
  </si>
  <si>
    <t>Attribute type is responded to by parameter Response with a description: Return movie, series or episode</t>
  </si>
  <si>
    <t>imdbID</t>
  </si>
  <si>
    <t>input.i == return.imdbID</t>
  </si>
  <si>
    <t>Attribute i is responded to by parameter Response with a description: A valid IMDb ID (e.g. tt0000001)
 {"type": "string", "example": "tt1245492"} schema: {"type": "string", "example": "tt1245492"}</t>
  </si>
  <si>
    <t>seriesID</t>
  </si>
  <si>
    <t>LENGTH(return.seriesID)==9</t>
  </si>
  <si>
    <t>{"type": "string", "example": "tt0341939"}</t>
  </si>
  <si>
    <t>{"type": "string", "enum": ["True", "False"]}</t>
  </si>
  <si>
    <t>Search.Poster</t>
  </si>
  <si>
    <t>totalResults</t>
  </si>
  <si>
    <t>return.totalResults is Numeric</t>
  </si>
  <si>
    <t>{"type": "string", "example": 2}</t>
  </si>
  <si>
    <t>post+users_{user_id}_playlists</t>
  </si>
  <si>
    <t>collaborative</t>
  </si>
  <si>
    <t>input.collaborative == return.collaborative</t>
  </si>
  <si>
    <t xml:space="preserve">Attribute collaborative is responded to by parameter collaborative with a description: True if the owner allows other users to modify the playlist
</t>
  </si>
  <si>
    <t xml:space="preserve">Attribute descriptionis responded to by parameter description with a description: The playlist description. Only returned for modified, verified playlists, otherwise null
</t>
  </si>
  <si>
    <t>href</t>
  </si>
  <si>
    <t>LENGTH(return.href)==59
 return.href is Url
 return.id is a substring of return.href
 return.href is a substring of return.tracks.href
 return.type is a substring of return.href</t>
  </si>
  <si>
    <t>A link to the Web API endpoint providing full details of the playlist</t>
  </si>
  <si>
    <t>name</t>
  </si>
  <si>
    <t>input.name == return.name</t>
  </si>
  <si>
    <t>owner.href</t>
  </si>
  <si>
    <t>return.owner.href is Url
 input.user_id is a substring of return.owner.href
 return.owner.type is a substring of return.owner.href</t>
  </si>
  <si>
    <t>A link to the Web API endpoint for this user</t>
  </si>
  <si>
    <t>owner.type</t>
  </si>
  <si>
    <t>return.owner.type == "user"
 LENGTH(return.owner.type)==4
 return.owner.type is a substring of return.owner.uri</t>
  </si>
  <si>
    <t>The object type: 'user'</t>
  </si>
  <si>
    <t>owner.uri</t>
  </si>
  <si>
    <t>input.user_id is a substring of return.owner.uri</t>
  </si>
  <si>
    <t>The Spotify URI for the user, schema: {"type": "string", "format": "uri"}</t>
  </si>
  <si>
    <t>public</t>
  </si>
  <si>
    <t>input.public == return.public</t>
  </si>
  <si>
    <t>Attribute public is responded to by parameter public with a description: The playlist description. Only returned for modified, verified playlists, otherwise null
 The playlist's public/private status: true the playlist is public, false the playlist is private, null the playlist status is not relevant. For more about public/private status, see Working with Playlists</t>
  </si>
  <si>
    <t>type</t>
  </si>
  <si>
    <t>return.type == "playlist"
 LENGTH(return.type)==8
 return.type is a substring of return.uri</t>
  </si>
  <si>
    <t>The object type: 'playlist'</t>
  </si>
  <si>
    <t>uri</t>
  </si>
  <si>
    <t>LENGTH(return.uri)==39</t>
  </si>
  <si>
    <t>Spotify URI of the playlist, schema: {"type": "string", "format": "uri"}</t>
  </si>
  <si>
    <t>get+albums_{id}_tracks</t>
  </si>
  <si>
    <t>items.artists.href</t>
  </si>
  <si>
    <t>LENGTH(return.href)==57
 return.href is Url
 return.id is a substring of return.href
 return.type is a substring of return.href</t>
  </si>
  <si>
    <t>A link to the Web API endpoint providing full details of the artist</t>
  </si>
  <si>
    <t>items.artists.type</t>
  </si>
  <si>
    <t>return.type == "artist"
 LENGTH(return.type)==6
 return.type is a substring of return.uri</t>
  </si>
  <si>
    <t>The object type: 'artist'</t>
  </si>
  <si>
    <t>items.artists.uri</t>
  </si>
  <si>
    <t>LENGTH(return.uri)==37</t>
  </si>
  <si>
    <t>The Spotify URI for the artist, schema: {"type": "string", "format": "uri"}</t>
  </si>
  <si>
    <t>items.available_markets</t>
  </si>
  <si>
    <t>All the elements of return.available_markets[] have LENGTH=2</t>
  </si>
  <si>
    <t>A list of the countries in which the track can be played, identified by their ISO 3166-1 alpha-2 code</t>
  </si>
  <si>
    <t>items.href</t>
  </si>
  <si>
    <t>LENGTH(return.href)==56
 return.href is Url
 return.id is a substring of return.href
 return.type is a substring of return.href</t>
  </si>
  <si>
    <t>A link to the Web API endpoint providing full details of the track</t>
  </si>
  <si>
    <t>items.preview_url</t>
  </si>
  <si>
    <t>LENGTH(return.preview_url)==107
 return.preview_url is Url</t>
  </si>
  <si>
    <t>A URL to a 30 second preview (MP3 format) of the track. schema: {"type": "string", "x-nullable": true} schema: {"type": "string", "x-nullable": true}</t>
  </si>
  <si>
    <t>items.type</t>
  </si>
  <si>
    <t>return.type == "track"
 LENGTH(return.type)==5
 return.type is a substring of return.uri</t>
  </si>
  <si>
    <t>The object type: 'track'</t>
  </si>
  <si>
    <t>limit</t>
  </si>
  <si>
    <t>input.limit == return.limit
 return.limit &gt;= size(return.items[])</t>
  </si>
  <si>
    <t>Attribute limit is responded to by parameter limit a description: The maximum number of items to return</t>
  </si>
  <si>
    <t>next</t>
  </si>
  <si>
    <t>return.next is Url
 input.id is a substring of return.next
 input.market is a substring of return.next</t>
  </si>
  <si>
    <t>URL to the next page of items. (null if none</t>
  </si>
  <si>
    <t>offset</t>
  </si>
  <si>
    <t>input.offset == return.offset
 return.offset &gt;= 0</t>
  </si>
  <si>
    <t>Attribute offset is responded to by parameter offset  with a description: The index of the first item to return</t>
  </si>
  <si>
    <t>previous</t>
  </si>
  <si>
    <t>return.previous is Url
 input.id is a substring of return.previous
 input.market is a substring of return.previous</t>
  </si>
  <si>
    <t>URL to the previous page of items. (null if none</t>
  </si>
  <si>
    <t>total</t>
  </si>
  <si>
    <t>return.total &gt;= 1
 return.total &gt;= size(return.items[])</t>
  </si>
  <si>
    <t>The total number of items available to return</t>
  </si>
  <si>
    <t>get+artists_{id}_albums</t>
  </si>
  <si>
    <t>items.album_type</t>
  </si>
  <si>
    <t>return.album_type one of { "album", "compilation", "single" }</t>
  </si>
  <si>
    <t>The type of the album: one of 'album', 'single', or 'compilation'</t>
  </si>
  <si>
    <t>A link to the Web API endpoint providing full details of the album</t>
  </si>
  <si>
    <t>items.id</t>
  </si>
  <si>
    <t>LENGTH(return.id)==22
 return.id is a substring of return.uri</t>
  </si>
  <si>
    <t>Attribute id is responded to by parameter id with a description: The Spotify ID for the artist</t>
  </si>
  <si>
    <t>items.images.url</t>
  </si>
  <si>
    <t>LENGTH(return.url)==64
 return.url is Url</t>
  </si>
  <si>
    <t>The source URL of the image, schema: {"type": "string", "format": "uri"}</t>
  </si>
  <si>
    <t>return.type == "album"
 LENGTH(return.type)==5
 return.type is a substring of return.uri</t>
  </si>
  <si>
    <t>The object type: 'album'</t>
  </si>
  <si>
    <t>items.uri</t>
  </si>
  <si>
    <t>LENGTH(return.uri)==36</t>
  </si>
  <si>
    <t>The Spotify URI for the album, schema: {"type": "string", "format": "uri"}</t>
  </si>
  <si>
    <t>Attribute offset is responded to by parameter album-simple-page with a description: The index of the first item to return</t>
  </si>
  <si>
    <t>bettter</t>
  </si>
  <si>
    <t>get+businesses_search</t>
  </si>
  <si>
    <t>businesses.url</t>
  </si>
  <si>
    <t>{"type": "string"} schema: {"type": "string"}</t>
  </si>
  <si>
    <t>get+youtube_v3_videos</t>
  </si>
  <si>
    <t>items.contentDetails.caption</t>
  </si>
  <si>
    <t>return.contentDetails.caption one of { "false", "true" }</t>
  </si>
  <si>
    <t>The value of captions indicates whether the video has captions or not, schema: {"type": "string", "enum": ["true", "false"]}</t>
  </si>
  <si>
    <t>items.contentDetails.dimension</t>
  </si>
  <si>
    <t>return.contentDetails.dimension one of { "2d", "3d" }
 LENGTH(return.contentDetails.dimension)==2</t>
  </si>
  <si>
    <t>The value of dimension indicates whether the video is available in 3D or in 2D</t>
  </si>
  <si>
    <t>items.kind</t>
  </si>
  <si>
    <t>return.kind == "youtube#video"
 LENGTH(return.kind)==13</t>
  </si>
  <si>
    <t>Identifies what kind of resource this is. Value: the fixed string "youtube#video"</t>
  </si>
  <si>
    <t>items.liveStreamingDetails.actualEndTime</t>
  </si>
  <si>
    <t>LENGTH(return.liveStreamingDetails.actualEndTime)==20
 return.liveStreamingDetails.actualEndTime is Timestamp. Format: YYYY-MM-DDTHH:MM:SS.mmZ (Miliseconds are optional)</t>
  </si>
  <si>
    <t>The time that the broadcast actually ended. This value will not be available until the broadcast is over, schema: {"type": "string", "format": "date-time"}</t>
  </si>
  <si>
    <t>items.liveStreamingDetails.actualStartTime</t>
  </si>
  <si>
    <t>LENGTH(return.liveStreamingDetails.actualStartTime)==20
 return.liveStreamingDetails.actualStartTime is Timestamp. Format: YYYY-MM-DDTHH:MM:SS.mmZ (Miliseconds are optional)</t>
  </si>
  <si>
    <t>The time that the broadcast actually started. This value will not be available until the broadcast begins, schema: {"type": "string", "format": "date-time"}</t>
  </si>
  <si>
    <t>items.liveStreamingDetails.scheduledStartTime</t>
  </si>
  <si>
    <t>LENGTH(return.liveStreamingDetails.scheduledStartTime)==20
 return.liveStreamingDetails.scheduledStartTime is Timestamp. Format: YYYY-MM-DDTHH:MM:SS.mmZ (Miliseconds are optional)</t>
  </si>
  <si>
    <t>The time that the broadcast is scheduled to begin, schema: {"type": "string", "format": "date-time"}</t>
  </si>
  <si>
    <t>items.player.embedHeight</t>
  </si>
  <si>
    <t>return.player.embedHeight is Numeric
 return.player.embedHeight is a substring of return.player.embedHtml</t>
  </si>
  <si>
    <t>{"type": "string", "format": "int64"}</t>
  </si>
  <si>
    <t>items.player.embedWidth</t>
  </si>
  <si>
    <t>return.player.embedWidth is Numeric</t>
  </si>
  <si>
    <t>The embed width, schema: {"type": "string", "format": "int64"}</t>
  </si>
  <si>
    <t>items.snippet.publishedAt</t>
  </si>
  <si>
    <t>LENGTH(return.snippet.publishedAt)==20
 return.snippet.publishedAt is Timestamp. Format: YYYY-MM-DDTHH:MM:SS.mmZ (Miliseconds are optional)</t>
  </si>
  <si>
    <t>The date and time when the video was uploaded, schema: {"type": "string", "format": "date-time"}</t>
  </si>
  <si>
    <t>items.statistics.commentCount</t>
  </si>
  <si>
    <t>return.statistics.commentCount is Numeric</t>
  </si>
  <si>
    <t>The number of comments for the video, schema: {"type": "string", "format": "uint64"}</t>
  </si>
  <si>
    <t>items.statistics.favoriteCount</t>
  </si>
  <si>
    <t>return.statistics.favoriteCount == "0"
 LENGTH(return.statistics.favoriteCount)==1
 return.statistics.favoriteCount is Numeric</t>
  </si>
  <si>
    <t>The number of users who currently have the video marked as a favorite video, schema: {"type": "string", "format": "uint64"}</t>
  </si>
  <si>
    <t>items.statistics.likeCount</t>
  </si>
  <si>
    <t>return.statistics.likeCount is Numeric</t>
  </si>
  <si>
    <t>The number of users who have indicated that they liked the video by giving it a positive rating, schema: {"type": "string", "format": "uint64"}</t>
  </si>
  <si>
    <t>items.statistics.viewCount</t>
  </si>
  <si>
    <t>return.statistics.viewCount is Numeric</t>
  </si>
  <si>
    <t>The number of times the video has been viewed, schema: {"type": "string", "format": "uint64"}</t>
  </si>
  <si>
    <t>kind</t>
  </si>
  <si>
    <t>return.kind == "youtube#videoListResponse"
 LENGTH(return.kind)==25</t>
  </si>
  <si>
    <t>Identifies what kind of resource this is. Value: the fixed string "youtube#videoListResponse"</t>
  </si>
  <si>
    <t>nextPageToken</t>
  </si>
  <si>
    <t>LENGTH(return.nextPageToken)==6</t>
  </si>
  <si>
    <t>Attribute pageToken is responded to by parameter VideoListResponse with a description: The *pageToken* parameter identifies a specific page in the result set that should be returned. In an API response, the nextPageToken and prevPageToken properties identify other pages that could be retrieved. *Note:* This parameter is supported for use in conjunction with the myRating and chart parameters, but it is not supported for use in conjunction with the id parameter</t>
  </si>
  <si>
    <t>Seed 1</t>
  </si>
  <si>
    <t>Seed 2</t>
  </si>
  <si>
    <t>Seed 3</t>
  </si>
  <si>
    <t>Seed 4</t>
  </si>
  <si>
    <t>Seed 5</t>
  </si>
  <si>
    <t>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</si>
</sst>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1"/>
      <color theme="1"/>
      <name val="Calibri"/>
      <scheme val="minor"/>
    </font>
    <font>
      <sz val="11"/>
      <color theme="1"/>
      <name val="Calibri"/>
      <scheme val="minor"/>
    </font>
    <font>
      <sz val="11"/>
      <name val="Calibri"/>
    </font>
    <font>
      <b/>
      <sz val="11"/>
      <color theme="1"/>
      <name val="Calibri"/>
      <scheme val="minor"/>
    </font>
    <font>
      <b/>
      <sz val="11"/>
      <color theme="1"/>
      <name val="Calibri"/>
    </font>
    <font>
      <sz val="11"/>
      <color theme="1"/>
      <name val="Calibri"/>
    </font>
    <font>
      <b/>
      <sz val="19"/>
      <color theme="1"/>
      <name val="Calibri"/>
      <scheme val="minor"/>
    </font>
    <font>
      <sz val="11"/>
      <color rgb="FF000000"/>
      <name val="Calibri"/>
    </font>
    <font>
      <b/>
      <sz val="11"/>
      <color rgb="FF000000"/>
      <name val="Calibri"/>
    </font>
    <font>
      <u/>
      <sz val="11"/>
      <color rgb="FF000000"/>
      <name val="Calibri"/>
    </font>
  </fonts>
  <fills count="3">
    <fill>
      <patternFill patternType="none"/>
    </fill>
    <fill>
      <patternFill patternType="gray125"/>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79">
    <xf numFmtId="0" fontId="0" fillId="0" borderId="0" xfId="0" applyFont="1" applyAlignment="1"/>
    <xf numFmtId="0" fontId="1" fillId="0" borderId="0" xfId="0" applyFont="1"/>
    <xf numFmtId="0" fontId="1" fillId="0" borderId="0" xfId="0" applyFont="1" applyAlignment="1"/>
    <xf numFmtId="3" fontId="1" fillId="0" borderId="0" xfId="0" applyNumberFormat="1" applyFont="1"/>
    <xf numFmtId="10" fontId="1" fillId="0" borderId="0" xfId="0" applyNumberFormat="1" applyFont="1"/>
    <xf numFmtId="0" fontId="1" fillId="0" borderId="0" xfId="0" quotePrefix="1" applyFont="1"/>
    <xf numFmtId="164" fontId="1" fillId="0" borderId="0" xfId="0" applyNumberFormat="1" applyFont="1"/>
    <xf numFmtId="0" fontId="1" fillId="0" borderId="0" xfId="0" applyFont="1"/>
    <xf numFmtId="0" fontId="1" fillId="2" borderId="2" xfId="0" applyFont="1" applyFill="1" applyBorder="1"/>
    <xf numFmtId="0" fontId="1" fillId="2" borderId="2" xfId="0" applyFont="1" applyFill="1" applyBorder="1" applyAlignment="1"/>
    <xf numFmtId="3" fontId="1" fillId="2" borderId="2" xfId="0" applyNumberFormat="1" applyFont="1" applyFill="1" applyBorder="1"/>
    <xf numFmtId="10" fontId="1" fillId="2" borderId="2" xfId="0" applyNumberFormat="1" applyFont="1" applyFill="1" applyBorder="1"/>
    <xf numFmtId="0" fontId="1" fillId="2" borderId="2" xfId="0" quotePrefix="1" applyFont="1" applyFill="1" applyBorder="1"/>
    <xf numFmtId="0" fontId="1" fillId="2" borderId="0" xfId="0" applyFont="1" applyFill="1"/>
    <xf numFmtId="0" fontId="1" fillId="2" borderId="7" xfId="0" applyFont="1" applyFill="1" applyBorder="1" applyAlignment="1"/>
    <xf numFmtId="0" fontId="1" fillId="2" borderId="0" xfId="0" applyFont="1" applyFill="1" applyAlignment="1"/>
    <xf numFmtId="164" fontId="1" fillId="2" borderId="0" xfId="0" applyNumberFormat="1" applyFont="1" applyFill="1"/>
    <xf numFmtId="164" fontId="1" fillId="2" borderId="8" xfId="0" applyNumberFormat="1" applyFont="1" applyFill="1" applyBorder="1"/>
    <xf numFmtId="0" fontId="3" fillId="2" borderId="7" xfId="0" applyFont="1" applyFill="1" applyBorder="1"/>
    <xf numFmtId="0" fontId="1" fillId="2" borderId="0" xfId="0" applyFont="1" applyFill="1"/>
    <xf numFmtId="0" fontId="1" fillId="2" borderId="8" xfId="0" applyFont="1" applyFill="1" applyBorder="1"/>
    <xf numFmtId="0" fontId="1" fillId="2" borderId="7" xfId="0" applyFont="1" applyFill="1" applyBorder="1"/>
    <xf numFmtId="0" fontId="3" fillId="2" borderId="8" xfId="0" applyFont="1" applyFill="1" applyBorder="1"/>
    <xf numFmtId="0" fontId="3" fillId="2" borderId="0" xfId="0" applyFont="1" applyFill="1"/>
    <xf numFmtId="0" fontId="1" fillId="2" borderId="7" xfId="0" applyFont="1" applyFill="1" applyBorder="1"/>
    <xf numFmtId="0" fontId="1" fillId="2" borderId="2" xfId="0" applyFont="1" applyFill="1" applyBorder="1"/>
    <xf numFmtId="164" fontId="1" fillId="2" borderId="2" xfId="0" applyNumberFormat="1" applyFont="1" applyFill="1" applyBorder="1"/>
    <xf numFmtId="0" fontId="3" fillId="2" borderId="2" xfId="0" applyFont="1" applyFill="1" applyBorder="1"/>
    <xf numFmtId="0" fontId="3" fillId="2" borderId="0" xfId="0" applyFont="1" applyFill="1" applyAlignment="1"/>
    <xf numFmtId="0" fontId="3" fillId="2" borderId="7" xfId="0" applyFont="1" applyFill="1" applyBorder="1" applyAlignment="1"/>
    <xf numFmtId="0" fontId="1" fillId="2" borderId="8" xfId="0" applyFont="1" applyFill="1" applyBorder="1" applyAlignment="1"/>
    <xf numFmtId="0" fontId="4" fillId="2" borderId="7" xfId="0" applyFont="1" applyFill="1" applyBorder="1" applyAlignment="1">
      <alignment horizontal="right"/>
    </xf>
    <xf numFmtId="0" fontId="5" fillId="2" borderId="0" xfId="0" applyFont="1" applyFill="1" applyAlignment="1">
      <alignment horizontal="right"/>
    </xf>
    <xf numFmtId="0" fontId="5" fillId="2" borderId="8" xfId="0" applyFont="1" applyFill="1" applyBorder="1" applyAlignment="1">
      <alignment horizontal="right"/>
    </xf>
    <xf numFmtId="0" fontId="5" fillId="2" borderId="7" xfId="0" applyFont="1" applyFill="1" applyBorder="1" applyAlignment="1">
      <alignment horizontal="right"/>
    </xf>
    <xf numFmtId="0" fontId="4" fillId="2" borderId="0" xfId="0" applyFont="1" applyFill="1" applyAlignment="1">
      <alignment horizontal="right"/>
    </xf>
    <xf numFmtId="0" fontId="6" fillId="0" borderId="0" xfId="0" applyFont="1" applyAlignment="1"/>
    <xf numFmtId="165" fontId="1" fillId="2" borderId="7" xfId="0" applyNumberFormat="1" applyFont="1" applyFill="1" applyBorder="1" applyAlignment="1"/>
    <xf numFmtId="165" fontId="1" fillId="2" borderId="2" xfId="0" applyNumberFormat="1" applyFont="1" applyFill="1" applyBorder="1"/>
    <xf numFmtId="2" fontId="1" fillId="0" borderId="0" xfId="0" applyNumberFormat="1" applyFont="1" applyAlignment="1"/>
    <xf numFmtId="0" fontId="5" fillId="0" borderId="2" xfId="0" applyFont="1" applyBorder="1" applyAlignment="1"/>
    <xf numFmtId="0" fontId="4" fillId="0" borderId="2" xfId="0" applyFont="1" applyBorder="1" applyAlignment="1">
      <alignment horizontal="center"/>
    </xf>
    <xf numFmtId="0" fontId="4" fillId="0" borderId="2" xfId="0" applyFont="1" applyBorder="1" applyAlignment="1">
      <alignment horizontal="center"/>
    </xf>
    <xf numFmtId="0" fontId="3" fillId="0" borderId="2" xfId="0" applyFont="1" applyBorder="1" applyAlignment="1"/>
    <xf numFmtId="0" fontId="4" fillId="0" borderId="2" xfId="0" applyFont="1" applyBorder="1" applyAlignment="1"/>
    <xf numFmtId="0" fontId="7" fillId="0" borderId="2" xfId="0" applyFont="1" applyBorder="1" applyAlignment="1">
      <alignment horizontal="right"/>
    </xf>
    <xf numFmtId="0" fontId="5" fillId="0" borderId="2" xfId="0" applyFont="1" applyBorder="1" applyAlignment="1">
      <alignment horizontal="right"/>
    </xf>
    <xf numFmtId="0" fontId="5" fillId="2" borderId="2" xfId="0" applyFont="1" applyFill="1" applyBorder="1" applyAlignment="1">
      <alignment horizontal="right"/>
    </xf>
    <xf numFmtId="164" fontId="5" fillId="0" borderId="2" xfId="0" applyNumberFormat="1" applyFont="1" applyBorder="1" applyAlignment="1">
      <alignment horizontal="right"/>
    </xf>
    <xf numFmtId="0" fontId="1" fillId="0" borderId="2" xfId="0" applyFont="1" applyBorder="1"/>
    <xf numFmtId="0" fontId="5" fillId="0" borderId="2" xfId="0" applyFont="1" applyBorder="1" applyAlignment="1">
      <alignment horizontal="right"/>
    </xf>
    <xf numFmtId="0" fontId="5" fillId="0" borderId="2" xfId="0" applyFont="1" applyBorder="1" applyAlignment="1"/>
    <xf numFmtId="0" fontId="5" fillId="0" borderId="0" xfId="0" applyFont="1" applyAlignment="1"/>
    <xf numFmtId="0" fontId="5" fillId="0" borderId="0" xfId="0" applyFont="1" applyAlignment="1"/>
    <xf numFmtId="10" fontId="5" fillId="0" borderId="0" xfId="0" applyNumberFormat="1" applyFont="1" applyAlignment="1">
      <alignment horizontal="right"/>
    </xf>
    <xf numFmtId="0" fontId="5" fillId="0" borderId="0" xfId="0" applyFont="1" applyAlignment="1">
      <alignment horizontal="center"/>
    </xf>
    <xf numFmtId="0" fontId="5" fillId="0" borderId="0" xfId="0" applyFont="1" applyAlignment="1"/>
    <xf numFmtId="0" fontId="4" fillId="0" borderId="2" xfId="0" applyFont="1" applyBorder="1" applyAlignment="1">
      <alignment horizontal="center" vertical="top"/>
    </xf>
    <xf numFmtId="0" fontId="8" fillId="0" borderId="0" xfId="0" applyFont="1" applyAlignment="1"/>
    <xf numFmtId="0" fontId="7" fillId="0" borderId="0" xfId="0" applyFont="1" applyAlignment="1"/>
    <xf numFmtId="0" fontId="7" fillId="0" borderId="0" xfId="0" applyFont="1" applyAlignment="1">
      <alignment horizontal="right"/>
    </xf>
    <xf numFmtId="0" fontId="7" fillId="0" borderId="0" xfId="0" applyFont="1" applyAlignment="1"/>
    <xf numFmtId="0" fontId="7" fillId="0" borderId="0" xfId="0" applyFont="1" applyAlignment="1"/>
    <xf numFmtId="0" fontId="7" fillId="0" borderId="0" xfId="0" applyFont="1" applyAlignment="1"/>
    <xf numFmtId="0" fontId="9" fillId="0" borderId="0" xfId="0" applyFont="1" applyAlignment="1"/>
    <xf numFmtId="0" fontId="7" fillId="0" borderId="0" xfId="0" applyFont="1" applyAlignment="1"/>
    <xf numFmtId="0" fontId="8" fillId="0" borderId="9" xfId="0" applyFont="1" applyBorder="1" applyAlignment="1">
      <alignment horizontal="center" vertical="top"/>
    </xf>
    <xf numFmtId="0" fontId="7" fillId="0" borderId="0" xfId="0" applyFont="1" applyAlignment="1"/>
    <xf numFmtId="0" fontId="0" fillId="2" borderId="9" xfId="0" applyFont="1" applyFill="1" applyBorder="1" applyAlignment="1"/>
    <xf numFmtId="0" fontId="0" fillId="0" borderId="0" xfId="0" applyFont="1" applyAlignment="1"/>
    <xf numFmtId="0" fontId="1" fillId="2" borderId="3" xfId="0" applyFont="1" applyFill="1" applyBorder="1" applyAlignment="1">
      <alignment horizontal="center"/>
    </xf>
    <xf numFmtId="0" fontId="2" fillId="0" borderId="4" xfId="0" applyFont="1" applyBorder="1"/>
    <xf numFmtId="0" fontId="2" fillId="0" borderId="5" xfId="0" applyFont="1" applyBorder="1"/>
    <xf numFmtId="0" fontId="1" fillId="2" borderId="1" xfId="0" applyFont="1" applyFill="1" applyBorder="1" applyAlignment="1">
      <alignment horizontal="center" vertical="center"/>
    </xf>
    <xf numFmtId="0" fontId="2" fillId="0" borderId="6" xfId="0" applyFont="1" applyBorder="1"/>
    <xf numFmtId="0" fontId="1" fillId="0" borderId="0" xfId="0" applyFont="1" applyAlignment="1">
      <alignment horizontal="center" vertical="center"/>
    </xf>
    <xf numFmtId="0" fontId="1" fillId="0" borderId="0" xfId="0" applyFont="1" applyAlignment="1">
      <alignment horizontal="center"/>
    </xf>
    <xf numFmtId="0" fontId="4" fillId="0" borderId="3" xfId="0" applyFont="1" applyBorder="1" applyAlignment="1">
      <alignment horizontal="center"/>
    </xf>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data.offers.i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data.results.id/"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items.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95"/>
  <sheetViews>
    <sheetView tabSelected="1" topLeftCell="A15" workbookViewId="0">
      <selection activeCell="U26" sqref="U26"/>
    </sheetView>
  </sheetViews>
  <sheetFormatPr defaultColWidth="14.42578125" defaultRowHeight="15" customHeight="1"/>
  <cols>
    <col min="1" max="1" width="10.7109375" customWidth="1"/>
    <col min="2" max="2" width="35.42578125" hidden="1" customWidth="1"/>
    <col min="3" max="3" width="7.7109375" customWidth="1"/>
    <col min="4" max="4" width="13" customWidth="1"/>
    <col min="5" max="5" width="9.42578125" customWidth="1"/>
    <col min="6" max="6" width="6.140625" customWidth="1"/>
    <col min="7" max="8" width="9.28515625" customWidth="1"/>
    <col min="9" max="12" width="8.85546875" customWidth="1"/>
    <col min="13" max="15" width="7.28515625" customWidth="1"/>
    <col min="16" max="17" width="7.85546875" customWidth="1"/>
  </cols>
  <sheetData>
    <row r="1" spans="1:17" hidden="1">
      <c r="A1" s="75" t="s">
        <v>0</v>
      </c>
      <c r="B1" s="1"/>
      <c r="C1" s="76" t="s">
        <v>1</v>
      </c>
      <c r="D1" s="69"/>
      <c r="E1" s="69"/>
      <c r="F1" s="69"/>
      <c r="G1" s="69"/>
      <c r="H1" s="69"/>
      <c r="I1" s="76" t="s">
        <v>2</v>
      </c>
      <c r="J1" s="69"/>
      <c r="K1" s="69"/>
      <c r="L1" s="69"/>
      <c r="M1" s="76" t="s">
        <v>3</v>
      </c>
      <c r="N1" s="69"/>
      <c r="O1" s="69"/>
      <c r="P1" s="76" t="s">
        <v>4</v>
      </c>
      <c r="Q1" s="69"/>
    </row>
    <row r="2" spans="1:17" hidden="1">
      <c r="A2" s="69"/>
      <c r="B2" s="1" t="s">
        <v>0</v>
      </c>
      <c r="C2" s="1" t="s">
        <v>5</v>
      </c>
      <c r="D2" s="2" t="s">
        <v>6</v>
      </c>
      <c r="E2" s="1" t="s">
        <v>7</v>
      </c>
      <c r="F2" s="3" t="s">
        <v>8</v>
      </c>
      <c r="G2" s="4" t="s">
        <v>9</v>
      </c>
      <c r="H2" s="4" t="s">
        <v>10</v>
      </c>
      <c r="I2" s="1" t="s">
        <v>11</v>
      </c>
      <c r="J2" s="2" t="s">
        <v>6</v>
      </c>
      <c r="K2" s="1" t="s">
        <v>7</v>
      </c>
      <c r="L2" s="4" t="s">
        <v>9</v>
      </c>
      <c r="M2" s="1" t="s">
        <v>12</v>
      </c>
      <c r="N2" s="1" t="s">
        <v>13</v>
      </c>
      <c r="O2" s="5" t="s">
        <v>14</v>
      </c>
      <c r="P2" s="1" t="s">
        <v>12</v>
      </c>
      <c r="Q2" s="1" t="s">
        <v>13</v>
      </c>
    </row>
    <row r="3" spans="1:17" hidden="1">
      <c r="A3" s="1" t="s">
        <v>15</v>
      </c>
      <c r="B3" s="1" t="s">
        <v>16</v>
      </c>
      <c r="C3" s="1">
        <v>95</v>
      </c>
      <c r="D3" s="1">
        <v>90</v>
      </c>
      <c r="E3" s="1">
        <v>79</v>
      </c>
      <c r="F3" s="1">
        <v>16</v>
      </c>
      <c r="G3" s="6">
        <f t="shared" ref="G3:G13" si="0">E3/D3</f>
        <v>0.87777777777777777</v>
      </c>
      <c r="H3" s="6">
        <f t="shared" ref="H3:H13" si="1">E3/(F3+E3)</f>
        <v>0.83157894736842108</v>
      </c>
      <c r="I3" s="1">
        <v>198</v>
      </c>
      <c r="J3" s="1">
        <v>123</v>
      </c>
      <c r="K3" s="1">
        <v>120</v>
      </c>
      <c r="L3" s="6">
        <f t="shared" ref="L3:L14" si="2">K3/J3</f>
        <v>0.97560975609756095</v>
      </c>
      <c r="M3" s="7">
        <f t="shared" ref="M3:M13" ca="1" si="3">COUNTIF(INDIRECT("'" &amp; B3 &amp; "'!$E$2:$E$1000"),1)</f>
        <v>5</v>
      </c>
      <c r="N3" s="7">
        <f t="shared" ref="N3:N13" ca="1" si="4">COUNTIF(INDIRECT("'" &amp; B3 &amp; "'!$E$2:$E$1000"),-1)</f>
        <v>4</v>
      </c>
      <c r="O3" s="7">
        <f t="shared" ref="O3:O13" ca="1" si="5">COUNTIF(INDIRECT("'" &amp; B3 &amp; "'!$E$2:$E$1000"),0)</f>
        <v>38</v>
      </c>
      <c r="P3" s="7">
        <f t="shared" ref="P3:P13" ca="1" si="6">E3-O3-M3-N3</f>
        <v>32</v>
      </c>
      <c r="Q3" s="7">
        <f t="shared" ref="Q3:Q13" ca="1" si="7">K3-O3-N3-M3</f>
        <v>73</v>
      </c>
    </row>
    <row r="4" spans="1:17" hidden="1">
      <c r="A4" s="1" t="s">
        <v>17</v>
      </c>
      <c r="B4" s="1" t="s">
        <v>18</v>
      </c>
      <c r="C4" s="1">
        <v>154</v>
      </c>
      <c r="D4" s="1">
        <v>135</v>
      </c>
      <c r="E4" s="1">
        <v>127</v>
      </c>
      <c r="F4" s="1">
        <v>27</v>
      </c>
      <c r="G4" s="6">
        <f t="shared" si="0"/>
        <v>0.94074074074074077</v>
      </c>
      <c r="H4" s="6">
        <f t="shared" si="1"/>
        <v>0.82467532467532467</v>
      </c>
      <c r="I4" s="1">
        <v>150</v>
      </c>
      <c r="J4" s="1">
        <v>81</v>
      </c>
      <c r="K4" s="1">
        <v>66</v>
      </c>
      <c r="L4" s="6">
        <f t="shared" si="2"/>
        <v>0.81481481481481477</v>
      </c>
      <c r="M4" s="7">
        <f t="shared" ca="1" si="3"/>
        <v>2</v>
      </c>
      <c r="N4" s="7">
        <f t="shared" ca="1" si="4"/>
        <v>3</v>
      </c>
      <c r="O4" s="7">
        <f t="shared" ca="1" si="5"/>
        <v>35</v>
      </c>
      <c r="P4" s="7">
        <f t="shared" ca="1" si="6"/>
        <v>87</v>
      </c>
      <c r="Q4" s="7">
        <f t="shared" ca="1" si="7"/>
        <v>26</v>
      </c>
    </row>
    <row r="5" spans="1:17" hidden="1">
      <c r="A5" s="1" t="s">
        <v>19</v>
      </c>
      <c r="B5" s="1" t="s">
        <v>20</v>
      </c>
      <c r="C5" s="1">
        <v>45</v>
      </c>
      <c r="D5" s="1">
        <v>38</v>
      </c>
      <c r="E5" s="1">
        <v>29</v>
      </c>
      <c r="F5" s="1">
        <v>16</v>
      </c>
      <c r="G5" s="6">
        <f t="shared" si="0"/>
        <v>0.76315789473684215</v>
      </c>
      <c r="H5" s="6">
        <f t="shared" si="1"/>
        <v>0.64444444444444449</v>
      </c>
      <c r="I5" s="1">
        <v>117</v>
      </c>
      <c r="J5" s="1">
        <v>70</v>
      </c>
      <c r="K5" s="1">
        <v>33</v>
      </c>
      <c r="L5" s="6">
        <f t="shared" si="2"/>
        <v>0.47142857142857142</v>
      </c>
      <c r="M5" s="7">
        <f t="shared" ca="1" si="3"/>
        <v>6</v>
      </c>
      <c r="N5" s="7">
        <f t="shared" ca="1" si="4"/>
        <v>2</v>
      </c>
      <c r="O5" s="7">
        <f t="shared" ca="1" si="5"/>
        <v>2</v>
      </c>
      <c r="P5" s="7">
        <f t="shared" ca="1" si="6"/>
        <v>19</v>
      </c>
      <c r="Q5" s="7">
        <f t="shared" ca="1" si="7"/>
        <v>23</v>
      </c>
    </row>
    <row r="6" spans="1:17" hidden="1">
      <c r="A6" s="1" t="s">
        <v>21</v>
      </c>
      <c r="B6" s="1" t="s">
        <v>22</v>
      </c>
      <c r="C6" s="1">
        <v>39</v>
      </c>
      <c r="D6" s="1">
        <v>30</v>
      </c>
      <c r="E6" s="1">
        <v>26</v>
      </c>
      <c r="F6" s="1">
        <v>13</v>
      </c>
      <c r="G6" s="6">
        <f t="shared" si="0"/>
        <v>0.8666666666666667</v>
      </c>
      <c r="H6" s="6">
        <f t="shared" si="1"/>
        <v>0.66666666666666663</v>
      </c>
      <c r="I6" s="1">
        <v>115</v>
      </c>
      <c r="J6" s="1">
        <v>62</v>
      </c>
      <c r="K6" s="1">
        <v>33</v>
      </c>
      <c r="L6" s="6">
        <f t="shared" si="2"/>
        <v>0.532258064516129</v>
      </c>
      <c r="M6" s="7">
        <f t="shared" ca="1" si="3"/>
        <v>4</v>
      </c>
      <c r="N6" s="7">
        <f t="shared" ca="1" si="4"/>
        <v>1</v>
      </c>
      <c r="O6" s="7">
        <f t="shared" ca="1" si="5"/>
        <v>2</v>
      </c>
      <c r="P6" s="7">
        <f t="shared" ca="1" si="6"/>
        <v>19</v>
      </c>
      <c r="Q6" s="7">
        <f t="shared" ca="1" si="7"/>
        <v>26</v>
      </c>
    </row>
    <row r="7" spans="1:17" hidden="1">
      <c r="A7" s="1" t="s">
        <v>23</v>
      </c>
      <c r="B7" s="1" t="s">
        <v>24</v>
      </c>
      <c r="C7" s="1">
        <v>15</v>
      </c>
      <c r="D7" s="1">
        <v>12</v>
      </c>
      <c r="E7" s="1">
        <v>12</v>
      </c>
      <c r="F7" s="1">
        <v>3</v>
      </c>
      <c r="G7" s="6">
        <f t="shared" si="0"/>
        <v>1</v>
      </c>
      <c r="H7" s="6">
        <f t="shared" si="1"/>
        <v>0.8</v>
      </c>
      <c r="I7" s="1">
        <v>16</v>
      </c>
      <c r="J7" s="1">
        <v>15</v>
      </c>
      <c r="K7" s="1">
        <v>14</v>
      </c>
      <c r="L7" s="6">
        <f t="shared" si="2"/>
        <v>0.93333333333333335</v>
      </c>
      <c r="M7" s="7">
        <f t="shared" ca="1" si="3"/>
        <v>3</v>
      </c>
      <c r="N7" s="7">
        <f t="shared" ca="1" si="4"/>
        <v>1</v>
      </c>
      <c r="O7" s="7">
        <f t="shared" ca="1" si="5"/>
        <v>3</v>
      </c>
      <c r="P7" s="7">
        <f t="shared" ca="1" si="6"/>
        <v>5</v>
      </c>
      <c r="Q7" s="7">
        <f t="shared" ca="1" si="7"/>
        <v>7</v>
      </c>
    </row>
    <row r="8" spans="1:17" hidden="1">
      <c r="A8" s="1" t="s">
        <v>25</v>
      </c>
      <c r="B8" s="1" t="s">
        <v>26</v>
      </c>
      <c r="C8" s="1">
        <v>6</v>
      </c>
      <c r="D8" s="1">
        <v>7</v>
      </c>
      <c r="E8" s="1">
        <v>6</v>
      </c>
      <c r="F8" s="1">
        <v>0</v>
      </c>
      <c r="G8" s="6">
        <f t="shared" si="0"/>
        <v>0.8571428571428571</v>
      </c>
      <c r="H8" s="6">
        <f t="shared" si="1"/>
        <v>1</v>
      </c>
      <c r="I8" s="1">
        <v>5</v>
      </c>
      <c r="J8" s="1">
        <v>4</v>
      </c>
      <c r="K8" s="1">
        <v>4</v>
      </c>
      <c r="L8" s="6">
        <f t="shared" si="2"/>
        <v>1</v>
      </c>
      <c r="M8" s="7">
        <f t="shared" ca="1" si="3"/>
        <v>1</v>
      </c>
      <c r="N8" s="7">
        <f t="shared" ca="1" si="4"/>
        <v>1</v>
      </c>
      <c r="O8" s="7">
        <f t="shared" ca="1" si="5"/>
        <v>1</v>
      </c>
      <c r="P8" s="7">
        <f t="shared" ca="1" si="6"/>
        <v>3</v>
      </c>
      <c r="Q8" s="7">
        <f t="shared" ca="1" si="7"/>
        <v>1</v>
      </c>
    </row>
    <row r="9" spans="1:17" hidden="1">
      <c r="A9" s="1" t="s">
        <v>27</v>
      </c>
      <c r="B9" s="1" t="s">
        <v>28</v>
      </c>
      <c r="C9" s="1">
        <v>25</v>
      </c>
      <c r="D9" s="1">
        <v>24</v>
      </c>
      <c r="E9" s="1">
        <v>19</v>
      </c>
      <c r="F9" s="1">
        <v>6</v>
      </c>
      <c r="G9" s="6">
        <f t="shared" si="0"/>
        <v>0.79166666666666663</v>
      </c>
      <c r="H9" s="6">
        <f t="shared" si="1"/>
        <v>0.76</v>
      </c>
      <c r="I9" s="1">
        <v>41</v>
      </c>
      <c r="J9" s="1">
        <v>22</v>
      </c>
      <c r="K9" s="1">
        <v>22</v>
      </c>
      <c r="L9" s="6">
        <f t="shared" si="2"/>
        <v>1</v>
      </c>
      <c r="M9" s="7">
        <f t="shared" ca="1" si="3"/>
        <v>7</v>
      </c>
      <c r="N9" s="7">
        <f t="shared" ca="1" si="4"/>
        <v>1</v>
      </c>
      <c r="O9" s="7">
        <f t="shared" ca="1" si="5"/>
        <v>2</v>
      </c>
      <c r="P9" s="7">
        <f t="shared" ca="1" si="6"/>
        <v>9</v>
      </c>
      <c r="Q9" s="7">
        <f t="shared" ca="1" si="7"/>
        <v>12</v>
      </c>
    </row>
    <row r="10" spans="1:17" hidden="1">
      <c r="A10" s="1" t="s">
        <v>29</v>
      </c>
      <c r="B10" s="1" t="s">
        <v>30</v>
      </c>
      <c r="C10" s="1">
        <v>25</v>
      </c>
      <c r="D10" s="1">
        <v>19</v>
      </c>
      <c r="E10" s="1">
        <v>19</v>
      </c>
      <c r="F10" s="1">
        <v>6</v>
      </c>
      <c r="G10" s="6">
        <f t="shared" si="0"/>
        <v>1</v>
      </c>
      <c r="H10" s="6">
        <f t="shared" si="1"/>
        <v>0.76</v>
      </c>
      <c r="I10" s="1">
        <v>68</v>
      </c>
      <c r="J10" s="1">
        <v>27</v>
      </c>
      <c r="K10" s="1">
        <v>21</v>
      </c>
      <c r="L10" s="6">
        <f t="shared" si="2"/>
        <v>0.77777777777777779</v>
      </c>
      <c r="M10" s="7">
        <f t="shared" ca="1" si="3"/>
        <v>2</v>
      </c>
      <c r="N10" s="7">
        <f t="shared" ca="1" si="4"/>
        <v>6</v>
      </c>
      <c r="O10" s="7">
        <f t="shared" ca="1" si="5"/>
        <v>4</v>
      </c>
      <c r="P10" s="7">
        <f t="shared" ca="1" si="6"/>
        <v>7</v>
      </c>
      <c r="Q10" s="7">
        <f t="shared" ca="1" si="7"/>
        <v>9</v>
      </c>
    </row>
    <row r="11" spans="1:17" hidden="1">
      <c r="A11" s="1" t="s">
        <v>31</v>
      </c>
      <c r="B11" s="1" t="s">
        <v>32</v>
      </c>
      <c r="C11" s="1">
        <v>17</v>
      </c>
      <c r="D11" s="1">
        <v>18</v>
      </c>
      <c r="E11" s="1">
        <v>16</v>
      </c>
      <c r="F11" s="1">
        <v>1</v>
      </c>
      <c r="G11" s="6">
        <f t="shared" si="0"/>
        <v>0.88888888888888884</v>
      </c>
      <c r="H11" s="6">
        <f t="shared" si="1"/>
        <v>0.94117647058823528</v>
      </c>
      <c r="I11" s="1">
        <v>55</v>
      </c>
      <c r="J11" s="1">
        <v>25</v>
      </c>
      <c r="K11" s="1">
        <v>18</v>
      </c>
      <c r="L11" s="6">
        <f t="shared" si="2"/>
        <v>0.72</v>
      </c>
      <c r="M11" s="7">
        <f t="shared" ca="1" si="3"/>
        <v>0</v>
      </c>
      <c r="N11" s="7">
        <f t="shared" ca="1" si="4"/>
        <v>3</v>
      </c>
      <c r="O11" s="7">
        <f t="shared" ca="1" si="5"/>
        <v>9</v>
      </c>
      <c r="P11" s="7">
        <f t="shared" ca="1" si="6"/>
        <v>4</v>
      </c>
      <c r="Q11" s="7">
        <f t="shared" ca="1" si="7"/>
        <v>6</v>
      </c>
    </row>
    <row r="12" spans="1:17" hidden="1">
      <c r="A12" s="1" t="s">
        <v>33</v>
      </c>
      <c r="B12" s="1" t="s">
        <v>34</v>
      </c>
      <c r="C12" s="1">
        <v>4</v>
      </c>
      <c r="D12" s="1">
        <v>5</v>
      </c>
      <c r="E12" s="1">
        <v>4</v>
      </c>
      <c r="F12" s="1">
        <v>0</v>
      </c>
      <c r="G12" s="6">
        <f t="shared" si="0"/>
        <v>0.8</v>
      </c>
      <c r="H12" s="6">
        <f t="shared" si="1"/>
        <v>1</v>
      </c>
      <c r="I12" s="1">
        <v>30</v>
      </c>
      <c r="J12" s="1">
        <v>14</v>
      </c>
      <c r="K12" s="1">
        <v>4</v>
      </c>
      <c r="L12" s="6">
        <f t="shared" si="2"/>
        <v>0.2857142857142857</v>
      </c>
      <c r="M12" s="7">
        <f t="shared" ca="1" si="3"/>
        <v>0</v>
      </c>
      <c r="N12" s="7">
        <f t="shared" ca="1" si="4"/>
        <v>0</v>
      </c>
      <c r="O12" s="7">
        <f t="shared" ca="1" si="5"/>
        <v>1</v>
      </c>
      <c r="P12" s="7">
        <f t="shared" ca="1" si="6"/>
        <v>3</v>
      </c>
      <c r="Q12" s="7">
        <f t="shared" ca="1" si="7"/>
        <v>3</v>
      </c>
    </row>
    <row r="13" spans="1:17" hidden="1">
      <c r="A13" s="1" t="s">
        <v>35</v>
      </c>
      <c r="B13" s="1" t="s">
        <v>36</v>
      </c>
      <c r="C13" s="1">
        <v>153</v>
      </c>
      <c r="D13" s="1">
        <v>135</v>
      </c>
      <c r="E13" s="1">
        <v>124</v>
      </c>
      <c r="F13" s="1">
        <v>29</v>
      </c>
      <c r="G13" s="6">
        <f t="shared" si="0"/>
        <v>0.91851851851851851</v>
      </c>
      <c r="H13" s="6">
        <f t="shared" si="1"/>
        <v>0.81045751633986929</v>
      </c>
      <c r="I13" s="1">
        <v>194</v>
      </c>
      <c r="J13" s="1">
        <v>76</v>
      </c>
      <c r="K13" s="1">
        <v>47</v>
      </c>
      <c r="L13" s="6">
        <f t="shared" si="2"/>
        <v>0.61842105263157898</v>
      </c>
      <c r="M13" s="7">
        <f t="shared" ca="1" si="3"/>
        <v>6</v>
      </c>
      <c r="N13" s="7">
        <f t="shared" ca="1" si="4"/>
        <v>0</v>
      </c>
      <c r="O13" s="7">
        <f t="shared" ca="1" si="5"/>
        <v>9</v>
      </c>
      <c r="P13" s="7">
        <f t="shared" ca="1" si="6"/>
        <v>109</v>
      </c>
      <c r="Q13" s="7">
        <f t="shared" ca="1" si="7"/>
        <v>32</v>
      </c>
    </row>
    <row r="14" spans="1:17" hidden="1">
      <c r="A14" s="2" t="s">
        <v>37</v>
      </c>
      <c r="B14" s="7" t="s">
        <v>37</v>
      </c>
      <c r="C14" s="7">
        <f t="shared" ref="C14:F14" si="8">SUM(C3:C13)</f>
        <v>578</v>
      </c>
      <c r="D14" s="7">
        <f t="shared" si="8"/>
        <v>513</v>
      </c>
      <c r="E14" s="7">
        <f t="shared" si="8"/>
        <v>461</v>
      </c>
      <c r="F14" s="7">
        <f t="shared" si="8"/>
        <v>117</v>
      </c>
      <c r="G14" s="6">
        <f t="shared" ref="G14:H14" si="9">AVERAGE(G3:G13)</f>
        <v>0.88223272828535992</v>
      </c>
      <c r="H14" s="6">
        <f t="shared" si="9"/>
        <v>0.82172721546208749</v>
      </c>
      <c r="I14" s="7">
        <f t="shared" ref="I14:K14" si="10">SUM(I3:I13)</f>
        <v>989</v>
      </c>
      <c r="J14" s="7">
        <f t="shared" si="10"/>
        <v>519</v>
      </c>
      <c r="K14" s="7">
        <f t="shared" si="10"/>
        <v>382</v>
      </c>
      <c r="L14" s="6">
        <f t="shared" si="2"/>
        <v>0.73603082851637769</v>
      </c>
      <c r="M14" s="7">
        <f t="shared" ref="M14:Q14" ca="1" si="11">SUM(M3:M13)</f>
        <v>36</v>
      </c>
      <c r="N14" s="7">
        <f t="shared" ca="1" si="11"/>
        <v>22</v>
      </c>
      <c r="O14" s="7">
        <f t="shared" ca="1" si="11"/>
        <v>106</v>
      </c>
      <c r="P14" s="7">
        <f t="shared" ca="1" si="11"/>
        <v>297</v>
      </c>
      <c r="Q14" s="7">
        <f t="shared" ca="1" si="11"/>
        <v>218</v>
      </c>
    </row>
    <row r="15" spans="1:17">
      <c r="A15" t="s">
        <v>409</v>
      </c>
      <c r="B15" s="7"/>
      <c r="C15" s="7"/>
      <c r="D15" s="7"/>
      <c r="E15" s="7"/>
      <c r="F15" s="7"/>
      <c r="G15" s="6"/>
      <c r="H15" s="6"/>
      <c r="I15" s="7"/>
      <c r="J15" s="7"/>
      <c r="K15" s="7"/>
      <c r="L15" s="6"/>
      <c r="M15" s="7"/>
      <c r="N15" s="7"/>
      <c r="O15" s="7"/>
      <c r="P15" s="7"/>
      <c r="Q15" s="7"/>
    </row>
    <row r="16" spans="1:17" ht="16.5" customHeight="1">
      <c r="A16" s="73" t="s">
        <v>0</v>
      </c>
      <c r="B16" s="8"/>
      <c r="C16" s="70" t="s">
        <v>1</v>
      </c>
      <c r="D16" s="71"/>
      <c r="E16" s="71"/>
      <c r="F16" s="71"/>
      <c r="G16" s="71"/>
      <c r="H16" s="72"/>
      <c r="I16" s="70" t="s">
        <v>2</v>
      </c>
      <c r="J16" s="71"/>
      <c r="K16" s="71"/>
      <c r="L16" s="72"/>
      <c r="M16" s="70" t="s">
        <v>3</v>
      </c>
      <c r="N16" s="71"/>
      <c r="O16" s="72"/>
      <c r="P16" s="70" t="s">
        <v>4</v>
      </c>
      <c r="Q16" s="72"/>
    </row>
    <row r="17" spans="1:22">
      <c r="A17" s="74"/>
      <c r="B17" s="8" t="s">
        <v>0</v>
      </c>
      <c r="C17" s="8" t="s">
        <v>5</v>
      </c>
      <c r="D17" s="9" t="s">
        <v>6</v>
      </c>
      <c r="E17" s="8" t="s">
        <v>7</v>
      </c>
      <c r="F17" s="10" t="s">
        <v>8</v>
      </c>
      <c r="G17" s="11" t="s">
        <v>9</v>
      </c>
      <c r="H17" s="11" t="s">
        <v>10</v>
      </c>
      <c r="I17" s="8" t="s">
        <v>11</v>
      </c>
      <c r="J17" s="9" t="s">
        <v>6</v>
      </c>
      <c r="K17" s="8" t="s">
        <v>7</v>
      </c>
      <c r="L17" s="11" t="s">
        <v>9</v>
      </c>
      <c r="M17" s="8" t="s">
        <v>12</v>
      </c>
      <c r="N17" s="8" t="s">
        <v>13</v>
      </c>
      <c r="O17" s="12" t="s">
        <v>14</v>
      </c>
      <c r="P17" s="8" t="s">
        <v>12</v>
      </c>
      <c r="Q17" s="8" t="s">
        <v>13</v>
      </c>
    </row>
    <row r="18" spans="1:22">
      <c r="A18" s="8" t="s">
        <v>15</v>
      </c>
      <c r="B18" s="13" t="s">
        <v>16</v>
      </c>
      <c r="C18" s="14">
        <v>100</v>
      </c>
      <c r="D18" s="13">
        <v>90</v>
      </c>
      <c r="E18" s="13">
        <v>79</v>
      </c>
      <c r="F18" s="15">
        <v>16</v>
      </c>
      <c r="G18" s="16">
        <f t="shared" ref="G18:G28" si="12">E18/D18</f>
        <v>0.87777777777777777</v>
      </c>
      <c r="H18" s="17">
        <f t="shared" ref="H18:H28" si="13">E18/(F18+E18)</f>
        <v>0.83157894736842108</v>
      </c>
      <c r="I18" s="14">
        <v>193</v>
      </c>
      <c r="J18" s="15">
        <v>97</v>
      </c>
      <c r="K18" s="15">
        <v>97</v>
      </c>
      <c r="L18" s="17">
        <f t="shared" ref="L18:L29" si="14">K18/J18</f>
        <v>1</v>
      </c>
      <c r="M18" s="18">
        <f t="shared" ref="M18:M28" ca="1" si="15">COUNTIF(INDIRECT("'" &amp; B18 &amp; "'!$E$2:$E$1000"),1)</f>
        <v>5</v>
      </c>
      <c r="N18" s="19">
        <f t="shared" ref="N18:N28" ca="1" si="16">COUNTIF(INDIRECT("'" &amp; B18 &amp; "'!$E$2:$E$1000"),-1)</f>
        <v>4</v>
      </c>
      <c r="O18" s="20">
        <f t="shared" ref="O18:O28" ca="1" si="17">COUNTIF(INDIRECT("'" &amp; B18 &amp; "'!$E$2:$E$1000"),0)</f>
        <v>38</v>
      </c>
      <c r="P18" s="21">
        <f t="shared" ref="P18:P28" ca="1" si="18">E18-O18-M18-N18</f>
        <v>32</v>
      </c>
      <c r="Q18" s="22">
        <f t="shared" ref="Q18:Q28" ca="1" si="19">K18-O18-N18-M18</f>
        <v>50</v>
      </c>
    </row>
    <row r="19" spans="1:22">
      <c r="A19" s="8" t="s">
        <v>17</v>
      </c>
      <c r="B19" s="13" t="s">
        <v>18</v>
      </c>
      <c r="C19" s="14">
        <v>157</v>
      </c>
      <c r="D19" s="13">
        <v>135</v>
      </c>
      <c r="E19" s="13">
        <v>127</v>
      </c>
      <c r="F19" s="13">
        <v>27</v>
      </c>
      <c r="G19" s="16">
        <f t="shared" si="12"/>
        <v>0.94074074074074077</v>
      </c>
      <c r="H19" s="17">
        <f t="shared" si="13"/>
        <v>0.82467532467532467</v>
      </c>
      <c r="I19" s="14">
        <v>145</v>
      </c>
      <c r="J19" s="15">
        <v>79</v>
      </c>
      <c r="K19" s="15">
        <v>68</v>
      </c>
      <c r="L19" s="17">
        <f t="shared" si="14"/>
        <v>0.86075949367088611</v>
      </c>
      <c r="M19" s="21">
        <f t="shared" ca="1" si="15"/>
        <v>2</v>
      </c>
      <c r="N19" s="23">
        <f t="shared" ca="1" si="16"/>
        <v>3</v>
      </c>
      <c r="O19" s="20">
        <f t="shared" ca="1" si="17"/>
        <v>35</v>
      </c>
      <c r="P19" s="18">
        <f t="shared" ca="1" si="18"/>
        <v>87</v>
      </c>
      <c r="Q19" s="20">
        <f t="shared" ca="1" si="19"/>
        <v>28</v>
      </c>
    </row>
    <row r="20" spans="1:22">
      <c r="A20" s="8" t="s">
        <v>19</v>
      </c>
      <c r="B20" s="13" t="s">
        <v>20</v>
      </c>
      <c r="C20" s="14">
        <v>59</v>
      </c>
      <c r="D20" s="13">
        <v>38</v>
      </c>
      <c r="E20" s="13">
        <v>29</v>
      </c>
      <c r="F20" s="13">
        <v>16</v>
      </c>
      <c r="G20" s="16">
        <f t="shared" si="12"/>
        <v>0.76315789473684215</v>
      </c>
      <c r="H20" s="17">
        <f t="shared" si="13"/>
        <v>0.64444444444444449</v>
      </c>
      <c r="I20" s="14">
        <v>137</v>
      </c>
      <c r="J20" s="15">
        <v>63</v>
      </c>
      <c r="K20" s="15">
        <v>31</v>
      </c>
      <c r="L20" s="17">
        <f t="shared" si="14"/>
        <v>0.49206349206349204</v>
      </c>
      <c r="M20" s="18">
        <f t="shared" ca="1" si="15"/>
        <v>6</v>
      </c>
      <c r="N20" s="19">
        <f t="shared" ca="1" si="16"/>
        <v>2</v>
      </c>
      <c r="O20" s="20">
        <f t="shared" ca="1" si="17"/>
        <v>2</v>
      </c>
      <c r="P20" s="21">
        <f t="shared" ca="1" si="18"/>
        <v>19</v>
      </c>
      <c r="Q20" s="22">
        <f t="shared" ca="1" si="19"/>
        <v>21</v>
      </c>
    </row>
    <row r="21" spans="1:22">
      <c r="A21" s="8" t="s">
        <v>21</v>
      </c>
      <c r="B21" s="13" t="s">
        <v>22</v>
      </c>
      <c r="C21" s="14">
        <v>50</v>
      </c>
      <c r="D21" s="13">
        <v>30</v>
      </c>
      <c r="E21" s="13">
        <v>26</v>
      </c>
      <c r="F21" s="13">
        <v>13</v>
      </c>
      <c r="G21" s="16">
        <f t="shared" si="12"/>
        <v>0.8666666666666667</v>
      </c>
      <c r="H21" s="17">
        <f t="shared" si="13"/>
        <v>0.66666666666666663</v>
      </c>
      <c r="I21" s="14">
        <v>104</v>
      </c>
      <c r="J21" s="15">
        <v>55</v>
      </c>
      <c r="K21" s="15">
        <v>31</v>
      </c>
      <c r="L21" s="17">
        <f t="shared" si="14"/>
        <v>0.5636363636363636</v>
      </c>
      <c r="M21" s="18">
        <f t="shared" ca="1" si="15"/>
        <v>4</v>
      </c>
      <c r="N21" s="19">
        <f t="shared" ca="1" si="16"/>
        <v>1</v>
      </c>
      <c r="O21" s="20">
        <f t="shared" ca="1" si="17"/>
        <v>2</v>
      </c>
      <c r="P21" s="21">
        <f t="shared" ca="1" si="18"/>
        <v>19</v>
      </c>
      <c r="Q21" s="22">
        <f t="shared" ca="1" si="19"/>
        <v>24</v>
      </c>
    </row>
    <row r="22" spans="1:22">
      <c r="A22" s="8" t="s">
        <v>23</v>
      </c>
      <c r="B22" s="13" t="s">
        <v>24</v>
      </c>
      <c r="C22" s="14">
        <v>15</v>
      </c>
      <c r="D22" s="13">
        <v>12</v>
      </c>
      <c r="E22" s="13">
        <v>12</v>
      </c>
      <c r="F22" s="13">
        <v>3</v>
      </c>
      <c r="G22" s="16">
        <f t="shared" si="12"/>
        <v>1</v>
      </c>
      <c r="H22" s="17">
        <f t="shared" si="13"/>
        <v>0.8</v>
      </c>
      <c r="I22" s="14">
        <v>17</v>
      </c>
      <c r="J22" s="15">
        <v>14</v>
      </c>
      <c r="K22" s="15">
        <v>12</v>
      </c>
      <c r="L22" s="17">
        <f t="shared" si="14"/>
        <v>0.8571428571428571</v>
      </c>
      <c r="M22" s="18">
        <f t="shared" ca="1" si="15"/>
        <v>3</v>
      </c>
      <c r="N22" s="19">
        <f t="shared" ca="1" si="16"/>
        <v>1</v>
      </c>
      <c r="O22" s="20">
        <f t="shared" ca="1" si="17"/>
        <v>3</v>
      </c>
      <c r="P22" s="21">
        <f t="shared" ca="1" si="18"/>
        <v>5</v>
      </c>
      <c r="Q22" s="20">
        <f t="shared" ca="1" si="19"/>
        <v>5</v>
      </c>
    </row>
    <row r="23" spans="1:22">
      <c r="A23" s="8" t="s">
        <v>25</v>
      </c>
      <c r="B23" s="13" t="s">
        <v>26</v>
      </c>
      <c r="C23" s="14">
        <v>6</v>
      </c>
      <c r="D23" s="13">
        <v>7</v>
      </c>
      <c r="E23" s="13">
        <v>6</v>
      </c>
      <c r="F23" s="13">
        <v>0</v>
      </c>
      <c r="G23" s="16">
        <f t="shared" si="12"/>
        <v>0.8571428571428571</v>
      </c>
      <c r="H23" s="17">
        <f t="shared" si="13"/>
        <v>1</v>
      </c>
      <c r="I23" s="14">
        <v>6</v>
      </c>
      <c r="J23" s="13">
        <v>4</v>
      </c>
      <c r="K23" s="15">
        <v>3</v>
      </c>
      <c r="L23" s="17">
        <f t="shared" si="14"/>
        <v>0.75</v>
      </c>
      <c r="M23" s="21">
        <f t="shared" ca="1" si="15"/>
        <v>1</v>
      </c>
      <c r="N23" s="19">
        <f t="shared" ca="1" si="16"/>
        <v>1</v>
      </c>
      <c r="O23" s="20">
        <f t="shared" ca="1" si="17"/>
        <v>1</v>
      </c>
      <c r="P23" s="21">
        <f t="shared" ca="1" si="18"/>
        <v>3</v>
      </c>
      <c r="Q23" s="20">
        <f t="shared" ca="1" si="19"/>
        <v>0</v>
      </c>
      <c r="V23" s="2" t="s">
        <v>38</v>
      </c>
    </row>
    <row r="24" spans="1:22">
      <c r="A24" s="8" t="s">
        <v>27</v>
      </c>
      <c r="B24" s="13" t="s">
        <v>28</v>
      </c>
      <c r="C24" s="14">
        <v>27</v>
      </c>
      <c r="D24" s="13">
        <v>24</v>
      </c>
      <c r="E24" s="13">
        <v>19</v>
      </c>
      <c r="F24" s="13">
        <v>6</v>
      </c>
      <c r="G24" s="16">
        <f t="shared" si="12"/>
        <v>0.79166666666666663</v>
      </c>
      <c r="H24" s="17">
        <f t="shared" si="13"/>
        <v>0.76</v>
      </c>
      <c r="I24" s="24">
        <v>41</v>
      </c>
      <c r="J24" s="15">
        <v>21</v>
      </c>
      <c r="K24" s="15">
        <v>21</v>
      </c>
      <c r="L24" s="17">
        <f t="shared" si="14"/>
        <v>1</v>
      </c>
      <c r="M24" s="18">
        <f t="shared" ca="1" si="15"/>
        <v>7</v>
      </c>
      <c r="N24" s="19">
        <f t="shared" ca="1" si="16"/>
        <v>1</v>
      </c>
      <c r="O24" s="20">
        <f t="shared" ca="1" si="17"/>
        <v>2</v>
      </c>
      <c r="P24" s="21">
        <f t="shared" ca="1" si="18"/>
        <v>9</v>
      </c>
      <c r="Q24" s="22">
        <f t="shared" ca="1" si="19"/>
        <v>11</v>
      </c>
    </row>
    <row r="25" spans="1:22">
      <c r="A25" s="8" t="s">
        <v>29</v>
      </c>
      <c r="B25" s="13" t="s">
        <v>30</v>
      </c>
      <c r="C25" s="14">
        <v>21</v>
      </c>
      <c r="D25" s="13">
        <v>19</v>
      </c>
      <c r="E25" s="13">
        <v>19</v>
      </c>
      <c r="F25" s="13">
        <v>6</v>
      </c>
      <c r="G25" s="16">
        <f t="shared" si="12"/>
        <v>1</v>
      </c>
      <c r="H25" s="17">
        <f t="shared" si="13"/>
        <v>0.76</v>
      </c>
      <c r="I25" s="14">
        <v>50</v>
      </c>
      <c r="J25" s="15">
        <v>24</v>
      </c>
      <c r="K25" s="15">
        <v>19</v>
      </c>
      <c r="L25" s="17">
        <f t="shared" si="14"/>
        <v>0.79166666666666663</v>
      </c>
      <c r="M25" s="21">
        <f t="shared" ca="1" si="15"/>
        <v>2</v>
      </c>
      <c r="N25" s="23">
        <f t="shared" ca="1" si="16"/>
        <v>6</v>
      </c>
      <c r="O25" s="20">
        <f t="shared" ca="1" si="17"/>
        <v>4</v>
      </c>
      <c r="P25" s="21">
        <f t="shared" ca="1" si="18"/>
        <v>7</v>
      </c>
      <c r="Q25" s="20">
        <f t="shared" ca="1" si="19"/>
        <v>7</v>
      </c>
    </row>
    <row r="26" spans="1:22">
      <c r="A26" s="8" t="s">
        <v>31</v>
      </c>
      <c r="B26" s="13" t="s">
        <v>32</v>
      </c>
      <c r="C26" s="14">
        <v>16</v>
      </c>
      <c r="D26" s="13">
        <v>18</v>
      </c>
      <c r="E26" s="13">
        <v>16</v>
      </c>
      <c r="F26" s="13">
        <v>1</v>
      </c>
      <c r="G26" s="16">
        <f t="shared" si="12"/>
        <v>0.88888888888888884</v>
      </c>
      <c r="H26" s="17">
        <f t="shared" si="13"/>
        <v>0.94117647058823528</v>
      </c>
      <c r="I26" s="14">
        <v>68</v>
      </c>
      <c r="J26" s="15">
        <v>24</v>
      </c>
      <c r="K26" s="15">
        <v>19</v>
      </c>
      <c r="L26" s="17">
        <f t="shared" si="14"/>
        <v>0.79166666666666663</v>
      </c>
      <c r="M26" s="21">
        <f t="shared" ca="1" si="15"/>
        <v>0</v>
      </c>
      <c r="N26" s="23">
        <f t="shared" ca="1" si="16"/>
        <v>3</v>
      </c>
      <c r="O26" s="20">
        <f t="shared" ca="1" si="17"/>
        <v>9</v>
      </c>
      <c r="P26" s="21">
        <f t="shared" ca="1" si="18"/>
        <v>4</v>
      </c>
      <c r="Q26" s="20">
        <f t="shared" ca="1" si="19"/>
        <v>7</v>
      </c>
    </row>
    <row r="27" spans="1:22">
      <c r="A27" s="8" t="s">
        <v>33</v>
      </c>
      <c r="B27" s="13" t="s">
        <v>34</v>
      </c>
      <c r="C27" s="24">
        <v>4</v>
      </c>
      <c r="D27" s="13">
        <v>5</v>
      </c>
      <c r="E27" s="13">
        <v>4</v>
      </c>
      <c r="F27" s="13">
        <v>0</v>
      </c>
      <c r="G27" s="16">
        <f t="shared" si="12"/>
        <v>0.8</v>
      </c>
      <c r="H27" s="17">
        <f t="shared" si="13"/>
        <v>1</v>
      </c>
      <c r="I27" s="14">
        <v>60</v>
      </c>
      <c r="J27" s="15">
        <v>14</v>
      </c>
      <c r="K27" s="15">
        <v>8</v>
      </c>
      <c r="L27" s="17">
        <f t="shared" si="14"/>
        <v>0.5714285714285714</v>
      </c>
      <c r="M27" s="21">
        <f t="shared" ca="1" si="15"/>
        <v>0</v>
      </c>
      <c r="N27" s="19">
        <f t="shared" ca="1" si="16"/>
        <v>0</v>
      </c>
      <c r="O27" s="20">
        <f t="shared" ca="1" si="17"/>
        <v>1</v>
      </c>
      <c r="P27" s="21">
        <f t="shared" ca="1" si="18"/>
        <v>3</v>
      </c>
      <c r="Q27" s="20">
        <f t="shared" ca="1" si="19"/>
        <v>7</v>
      </c>
    </row>
    <row r="28" spans="1:22">
      <c r="A28" s="8" t="s">
        <v>35</v>
      </c>
      <c r="B28" s="13" t="s">
        <v>36</v>
      </c>
      <c r="C28" s="14">
        <v>161</v>
      </c>
      <c r="D28" s="13">
        <v>135</v>
      </c>
      <c r="E28" s="13">
        <v>124</v>
      </c>
      <c r="F28" s="13">
        <v>29</v>
      </c>
      <c r="G28" s="16">
        <f t="shared" si="12"/>
        <v>0.91851851851851851</v>
      </c>
      <c r="H28" s="17">
        <f t="shared" si="13"/>
        <v>0.81045751633986929</v>
      </c>
      <c r="I28" s="14">
        <v>132</v>
      </c>
      <c r="J28" s="15">
        <v>78</v>
      </c>
      <c r="K28" s="15">
        <v>49</v>
      </c>
      <c r="L28" s="17">
        <f t="shared" si="14"/>
        <v>0.62820512820512819</v>
      </c>
      <c r="M28" s="18">
        <f t="shared" ca="1" si="15"/>
        <v>6</v>
      </c>
      <c r="N28" s="19">
        <f t="shared" ca="1" si="16"/>
        <v>0</v>
      </c>
      <c r="O28" s="20">
        <f t="shared" ca="1" si="17"/>
        <v>9</v>
      </c>
      <c r="P28" s="18">
        <f t="shared" ca="1" si="18"/>
        <v>109</v>
      </c>
      <c r="Q28" s="20">
        <f t="shared" ca="1" si="19"/>
        <v>34</v>
      </c>
    </row>
    <row r="29" spans="1:22">
      <c r="A29" s="9" t="s">
        <v>37</v>
      </c>
      <c r="B29" s="25" t="s">
        <v>37</v>
      </c>
      <c r="C29" s="25">
        <f t="shared" ref="C29:F29" si="20">SUM(C18:C28)</f>
        <v>616</v>
      </c>
      <c r="D29" s="25">
        <f t="shared" si="20"/>
        <v>513</v>
      </c>
      <c r="E29" s="25">
        <f t="shared" si="20"/>
        <v>461</v>
      </c>
      <c r="F29" s="25">
        <f t="shared" si="20"/>
        <v>117</v>
      </c>
      <c r="G29" s="26">
        <f t="shared" ref="G29:H29" si="21">AVERAGE(G18:G28)</f>
        <v>0.88223272828535992</v>
      </c>
      <c r="H29" s="26">
        <f t="shared" si="21"/>
        <v>0.82172721546208749</v>
      </c>
      <c r="I29" s="25">
        <f t="shared" ref="I29:K29" si="22">SUM(I18:I28)</f>
        <v>953</v>
      </c>
      <c r="J29" s="25">
        <f t="shared" si="22"/>
        <v>473</v>
      </c>
      <c r="K29" s="25">
        <f t="shared" si="22"/>
        <v>358</v>
      </c>
      <c r="L29" s="26">
        <f t="shared" si="14"/>
        <v>0.7568710359408034</v>
      </c>
      <c r="M29" s="27">
        <f t="shared" ref="M29:Q29" ca="1" si="23">SUM(M18:M28)</f>
        <v>36</v>
      </c>
      <c r="N29" s="25">
        <f t="shared" ca="1" si="23"/>
        <v>22</v>
      </c>
      <c r="O29" s="25">
        <f t="shared" ca="1" si="23"/>
        <v>106</v>
      </c>
      <c r="P29" s="27">
        <f t="shared" ca="1" si="23"/>
        <v>297</v>
      </c>
      <c r="Q29" s="25">
        <f t="shared" ca="1" si="23"/>
        <v>194</v>
      </c>
    </row>
    <row r="30" spans="1:22">
      <c r="G30" s="4"/>
      <c r="H30" s="4"/>
      <c r="L30" s="4"/>
    </row>
    <row r="31" spans="1:22">
      <c r="A31" s="2" t="s">
        <v>410</v>
      </c>
      <c r="G31" s="4"/>
      <c r="H31" s="4"/>
      <c r="L31" s="4"/>
    </row>
    <row r="32" spans="1:22">
      <c r="A32" s="73" t="s">
        <v>0</v>
      </c>
      <c r="B32" s="8"/>
      <c r="C32" s="70" t="s">
        <v>1</v>
      </c>
      <c r="D32" s="71"/>
      <c r="E32" s="71"/>
      <c r="F32" s="71"/>
      <c r="G32" s="71"/>
      <c r="H32" s="72"/>
      <c r="I32" s="70" t="s">
        <v>2</v>
      </c>
      <c r="J32" s="71"/>
      <c r="K32" s="71"/>
      <c r="L32" s="72"/>
      <c r="M32" s="70" t="s">
        <v>3</v>
      </c>
      <c r="N32" s="71"/>
      <c r="O32" s="72"/>
      <c r="P32" s="70" t="s">
        <v>4</v>
      </c>
      <c r="Q32" s="72"/>
    </row>
    <row r="33" spans="1:17">
      <c r="A33" s="74"/>
      <c r="B33" s="8" t="s">
        <v>0</v>
      </c>
      <c r="C33" s="8" t="s">
        <v>5</v>
      </c>
      <c r="D33" s="9" t="s">
        <v>6</v>
      </c>
      <c r="E33" s="8" t="s">
        <v>7</v>
      </c>
      <c r="F33" s="10" t="s">
        <v>8</v>
      </c>
      <c r="G33" s="11" t="s">
        <v>9</v>
      </c>
      <c r="H33" s="11" t="s">
        <v>10</v>
      </c>
      <c r="I33" s="8" t="s">
        <v>11</v>
      </c>
      <c r="J33" s="9" t="s">
        <v>6</v>
      </c>
      <c r="K33" s="8" t="s">
        <v>7</v>
      </c>
      <c r="L33" s="11" t="s">
        <v>9</v>
      </c>
      <c r="M33" s="8" t="s">
        <v>12</v>
      </c>
      <c r="N33" s="8" t="s">
        <v>13</v>
      </c>
      <c r="O33" s="12" t="s">
        <v>14</v>
      </c>
      <c r="P33" s="8" t="s">
        <v>12</v>
      </c>
      <c r="Q33" s="8" t="s">
        <v>13</v>
      </c>
    </row>
    <row r="34" spans="1:17">
      <c r="A34" s="8" t="s">
        <v>15</v>
      </c>
      <c r="B34" s="13" t="s">
        <v>16</v>
      </c>
      <c r="C34" s="14">
        <v>100</v>
      </c>
      <c r="D34" s="15">
        <v>104</v>
      </c>
      <c r="E34" s="28">
        <v>99</v>
      </c>
      <c r="F34" s="15">
        <v>1</v>
      </c>
      <c r="G34" s="16">
        <f t="shared" ref="G34:G44" si="24">E34/D34</f>
        <v>0.95192307692307687</v>
      </c>
      <c r="H34" s="17">
        <f t="shared" ref="H34:H44" si="25">E34/(F34+E34)</f>
        <v>0.99</v>
      </c>
      <c r="I34" s="14">
        <v>193</v>
      </c>
      <c r="J34" s="15">
        <v>97</v>
      </c>
      <c r="K34" s="15">
        <v>97</v>
      </c>
      <c r="L34" s="17">
        <f t="shared" ref="L34:L45" si="26">K34/J34</f>
        <v>1</v>
      </c>
      <c r="M34" s="29">
        <v>8</v>
      </c>
      <c r="N34" s="15">
        <v>4</v>
      </c>
      <c r="O34" s="30">
        <v>52</v>
      </c>
      <c r="P34" s="21">
        <f t="shared" ref="P34:P44" si="27">E34-O34-M34-N34</f>
        <v>35</v>
      </c>
      <c r="Q34" s="22">
        <f t="shared" ref="Q34:Q44" si="28">K34-O34-N34-M34</f>
        <v>33</v>
      </c>
    </row>
    <row r="35" spans="1:17">
      <c r="A35" s="8" t="s">
        <v>17</v>
      </c>
      <c r="B35" s="13" t="s">
        <v>18</v>
      </c>
      <c r="C35" s="14">
        <v>157</v>
      </c>
      <c r="D35" s="15">
        <v>161</v>
      </c>
      <c r="E35" s="28">
        <v>155</v>
      </c>
      <c r="F35" s="15">
        <v>2</v>
      </c>
      <c r="G35" s="16">
        <f t="shared" si="24"/>
        <v>0.96273291925465843</v>
      </c>
      <c r="H35" s="17">
        <f t="shared" si="25"/>
        <v>0.98726114649681529</v>
      </c>
      <c r="I35" s="14">
        <v>145</v>
      </c>
      <c r="J35" s="15">
        <v>79</v>
      </c>
      <c r="K35" s="15">
        <v>68</v>
      </c>
      <c r="L35" s="17">
        <f t="shared" si="26"/>
        <v>0.86075949367088611</v>
      </c>
      <c r="M35" s="14">
        <v>3</v>
      </c>
      <c r="N35" s="28">
        <v>3</v>
      </c>
      <c r="O35" s="30">
        <v>46</v>
      </c>
      <c r="P35" s="18">
        <f t="shared" si="27"/>
        <v>103</v>
      </c>
      <c r="Q35" s="20">
        <f t="shared" si="28"/>
        <v>16</v>
      </c>
    </row>
    <row r="36" spans="1:17">
      <c r="A36" s="8" t="s">
        <v>19</v>
      </c>
      <c r="B36" s="13" t="s">
        <v>20</v>
      </c>
      <c r="C36" s="14">
        <v>59</v>
      </c>
      <c r="D36" s="15">
        <v>51</v>
      </c>
      <c r="E36" s="28">
        <v>47</v>
      </c>
      <c r="F36" s="15">
        <v>12</v>
      </c>
      <c r="G36" s="16">
        <f t="shared" si="24"/>
        <v>0.92156862745098034</v>
      </c>
      <c r="H36" s="17">
        <f t="shared" si="25"/>
        <v>0.79661016949152541</v>
      </c>
      <c r="I36" s="14">
        <v>137</v>
      </c>
      <c r="J36" s="15">
        <v>63</v>
      </c>
      <c r="K36" s="15">
        <v>31</v>
      </c>
      <c r="L36" s="17">
        <f t="shared" si="26"/>
        <v>0.49206349206349204</v>
      </c>
      <c r="M36" s="29">
        <v>10</v>
      </c>
      <c r="N36" s="15">
        <v>3</v>
      </c>
      <c r="O36" s="30">
        <v>3</v>
      </c>
      <c r="P36" s="21">
        <f t="shared" si="27"/>
        <v>31</v>
      </c>
      <c r="Q36" s="22">
        <f t="shared" si="28"/>
        <v>15</v>
      </c>
    </row>
    <row r="37" spans="1:17">
      <c r="A37" s="8" t="s">
        <v>21</v>
      </c>
      <c r="B37" s="13" t="s">
        <v>22</v>
      </c>
      <c r="C37" s="14">
        <v>50</v>
      </c>
      <c r="D37" s="15">
        <v>42</v>
      </c>
      <c r="E37" s="28">
        <v>40</v>
      </c>
      <c r="F37" s="15">
        <v>10</v>
      </c>
      <c r="G37" s="16">
        <f t="shared" si="24"/>
        <v>0.95238095238095233</v>
      </c>
      <c r="H37" s="17">
        <f t="shared" si="25"/>
        <v>0.8</v>
      </c>
      <c r="I37" s="14">
        <v>104</v>
      </c>
      <c r="J37" s="15">
        <v>55</v>
      </c>
      <c r="K37" s="15">
        <v>31</v>
      </c>
      <c r="L37" s="17">
        <f t="shared" si="26"/>
        <v>0.5636363636363636</v>
      </c>
      <c r="M37" s="29">
        <v>8</v>
      </c>
      <c r="N37" s="15">
        <v>1</v>
      </c>
      <c r="O37" s="30">
        <v>11</v>
      </c>
      <c r="P37" s="21">
        <f t="shared" si="27"/>
        <v>20</v>
      </c>
      <c r="Q37" s="22">
        <f t="shared" si="28"/>
        <v>11</v>
      </c>
    </row>
    <row r="38" spans="1:17">
      <c r="A38" s="8" t="s">
        <v>23</v>
      </c>
      <c r="B38" s="13" t="s">
        <v>24</v>
      </c>
      <c r="C38" s="14">
        <v>15</v>
      </c>
      <c r="D38" s="15">
        <v>13</v>
      </c>
      <c r="E38" s="28">
        <v>12</v>
      </c>
      <c r="F38" s="15">
        <v>3</v>
      </c>
      <c r="G38" s="16">
        <f t="shared" si="24"/>
        <v>0.92307692307692313</v>
      </c>
      <c r="H38" s="17">
        <f t="shared" si="25"/>
        <v>0.8</v>
      </c>
      <c r="I38" s="14">
        <v>17</v>
      </c>
      <c r="J38" s="15">
        <v>14</v>
      </c>
      <c r="K38" s="15">
        <v>12</v>
      </c>
      <c r="L38" s="17">
        <f t="shared" si="26"/>
        <v>0.8571428571428571</v>
      </c>
      <c r="M38" s="29">
        <v>3</v>
      </c>
      <c r="N38" s="15">
        <v>1</v>
      </c>
      <c r="O38" s="30">
        <v>2</v>
      </c>
      <c r="P38" s="21">
        <f t="shared" si="27"/>
        <v>6</v>
      </c>
      <c r="Q38" s="20">
        <f t="shared" si="28"/>
        <v>6</v>
      </c>
    </row>
    <row r="39" spans="1:17">
      <c r="A39" s="8" t="s">
        <v>25</v>
      </c>
      <c r="B39" s="13" t="s">
        <v>26</v>
      </c>
      <c r="C39" s="14">
        <v>6</v>
      </c>
      <c r="D39" s="15">
        <v>7</v>
      </c>
      <c r="E39" s="28">
        <v>5</v>
      </c>
      <c r="F39" s="15">
        <v>1</v>
      </c>
      <c r="G39" s="16">
        <f t="shared" si="24"/>
        <v>0.7142857142857143</v>
      </c>
      <c r="H39" s="17">
        <f t="shared" si="25"/>
        <v>0.83333333333333337</v>
      </c>
      <c r="I39" s="14">
        <v>6</v>
      </c>
      <c r="J39" s="13">
        <v>4</v>
      </c>
      <c r="K39" s="15">
        <v>3</v>
      </c>
      <c r="L39" s="17">
        <f t="shared" si="26"/>
        <v>0.75</v>
      </c>
      <c r="M39" s="14">
        <v>1</v>
      </c>
      <c r="N39" s="15">
        <v>1</v>
      </c>
      <c r="O39" s="30">
        <v>1</v>
      </c>
      <c r="P39" s="21">
        <f t="shared" si="27"/>
        <v>2</v>
      </c>
      <c r="Q39" s="20">
        <f t="shared" si="28"/>
        <v>0</v>
      </c>
    </row>
    <row r="40" spans="1:17">
      <c r="A40" s="8" t="s">
        <v>27</v>
      </c>
      <c r="B40" s="13" t="s">
        <v>28</v>
      </c>
      <c r="C40" s="14">
        <v>27</v>
      </c>
      <c r="D40" s="15">
        <v>27</v>
      </c>
      <c r="E40" s="28">
        <v>21</v>
      </c>
      <c r="F40" s="15">
        <v>6</v>
      </c>
      <c r="G40" s="16">
        <f t="shared" si="24"/>
        <v>0.77777777777777779</v>
      </c>
      <c r="H40" s="17">
        <f t="shared" si="25"/>
        <v>0.77777777777777779</v>
      </c>
      <c r="I40" s="24">
        <v>41</v>
      </c>
      <c r="J40" s="15">
        <v>21</v>
      </c>
      <c r="K40" s="15">
        <v>21</v>
      </c>
      <c r="L40" s="17">
        <f t="shared" si="26"/>
        <v>1</v>
      </c>
      <c r="M40" s="29">
        <v>7</v>
      </c>
      <c r="N40" s="15">
        <v>1</v>
      </c>
      <c r="O40" s="30">
        <v>2</v>
      </c>
      <c r="P40" s="21">
        <f t="shared" si="27"/>
        <v>11</v>
      </c>
      <c r="Q40" s="22">
        <f t="shared" si="28"/>
        <v>11</v>
      </c>
    </row>
    <row r="41" spans="1:17">
      <c r="A41" s="8" t="s">
        <v>29</v>
      </c>
      <c r="B41" s="13" t="s">
        <v>30</v>
      </c>
      <c r="C41" s="14">
        <v>21</v>
      </c>
      <c r="D41" s="15">
        <v>23</v>
      </c>
      <c r="E41" s="28">
        <v>20</v>
      </c>
      <c r="F41" s="15">
        <v>3</v>
      </c>
      <c r="G41" s="16">
        <f t="shared" si="24"/>
        <v>0.86956521739130432</v>
      </c>
      <c r="H41" s="17">
        <f t="shared" si="25"/>
        <v>0.86956521739130432</v>
      </c>
      <c r="I41" s="14">
        <v>50</v>
      </c>
      <c r="J41" s="15">
        <v>24</v>
      </c>
      <c r="K41" s="15">
        <v>19</v>
      </c>
      <c r="L41" s="17">
        <f t="shared" si="26"/>
        <v>0.79166666666666663</v>
      </c>
      <c r="M41" s="14">
        <v>3</v>
      </c>
      <c r="N41" s="28">
        <v>6</v>
      </c>
      <c r="O41" s="30">
        <v>4</v>
      </c>
      <c r="P41" s="21">
        <f t="shared" si="27"/>
        <v>7</v>
      </c>
      <c r="Q41" s="20">
        <f t="shared" si="28"/>
        <v>6</v>
      </c>
    </row>
    <row r="42" spans="1:17">
      <c r="A42" s="8" t="s">
        <v>31</v>
      </c>
      <c r="B42" s="13" t="s">
        <v>32</v>
      </c>
      <c r="C42" s="14">
        <v>16</v>
      </c>
      <c r="D42" s="15">
        <v>19</v>
      </c>
      <c r="E42" s="28">
        <v>16</v>
      </c>
      <c r="F42" s="15">
        <v>1</v>
      </c>
      <c r="G42" s="16">
        <f t="shared" si="24"/>
        <v>0.84210526315789469</v>
      </c>
      <c r="H42" s="17">
        <f t="shared" si="25"/>
        <v>0.94117647058823528</v>
      </c>
      <c r="I42" s="14">
        <v>68</v>
      </c>
      <c r="J42" s="15">
        <v>24</v>
      </c>
      <c r="K42" s="15">
        <v>19</v>
      </c>
      <c r="L42" s="17">
        <f t="shared" si="26"/>
        <v>0.79166666666666663</v>
      </c>
      <c r="M42" s="14">
        <v>0</v>
      </c>
      <c r="N42" s="28">
        <v>4</v>
      </c>
      <c r="O42" s="30">
        <v>8</v>
      </c>
      <c r="P42" s="21">
        <f t="shared" si="27"/>
        <v>4</v>
      </c>
      <c r="Q42" s="20">
        <f t="shared" si="28"/>
        <v>7</v>
      </c>
    </row>
    <row r="43" spans="1:17">
      <c r="A43" s="8" t="s">
        <v>33</v>
      </c>
      <c r="B43" s="13" t="s">
        <v>34</v>
      </c>
      <c r="C43" s="24">
        <v>4</v>
      </c>
      <c r="D43" s="15">
        <v>5</v>
      </c>
      <c r="E43" s="28">
        <v>3</v>
      </c>
      <c r="F43" s="15">
        <v>1</v>
      </c>
      <c r="G43" s="16">
        <f t="shared" si="24"/>
        <v>0.6</v>
      </c>
      <c r="H43" s="17">
        <f t="shared" si="25"/>
        <v>0.75</v>
      </c>
      <c r="I43" s="14">
        <v>60</v>
      </c>
      <c r="J43" s="15">
        <v>14</v>
      </c>
      <c r="K43" s="15">
        <v>8</v>
      </c>
      <c r="L43" s="17">
        <f t="shared" si="26"/>
        <v>0.5714285714285714</v>
      </c>
      <c r="M43" s="14">
        <v>0</v>
      </c>
      <c r="N43" s="15">
        <v>0</v>
      </c>
      <c r="O43" s="30">
        <v>1</v>
      </c>
      <c r="P43" s="21">
        <f t="shared" si="27"/>
        <v>2</v>
      </c>
      <c r="Q43" s="20">
        <f t="shared" si="28"/>
        <v>7</v>
      </c>
    </row>
    <row r="44" spans="1:17">
      <c r="A44" s="8" t="s">
        <v>35</v>
      </c>
      <c r="B44" s="13" t="s">
        <v>36</v>
      </c>
      <c r="C44" s="14">
        <v>161</v>
      </c>
      <c r="D44" s="15">
        <v>145</v>
      </c>
      <c r="E44" s="28">
        <v>139</v>
      </c>
      <c r="F44" s="15">
        <v>22</v>
      </c>
      <c r="G44" s="16">
        <f t="shared" si="24"/>
        <v>0.95862068965517244</v>
      </c>
      <c r="H44" s="17">
        <f t="shared" si="25"/>
        <v>0.86335403726708071</v>
      </c>
      <c r="I44" s="14">
        <v>132</v>
      </c>
      <c r="J44" s="15">
        <v>78</v>
      </c>
      <c r="K44" s="15">
        <v>49</v>
      </c>
      <c r="L44" s="17">
        <f t="shared" si="26"/>
        <v>0.62820512820512819</v>
      </c>
      <c r="M44" s="29">
        <v>7</v>
      </c>
      <c r="N44" s="15">
        <v>0</v>
      </c>
      <c r="O44" s="30">
        <v>11</v>
      </c>
      <c r="P44" s="18">
        <f t="shared" si="27"/>
        <v>121</v>
      </c>
      <c r="Q44" s="20">
        <f t="shared" si="28"/>
        <v>31</v>
      </c>
    </row>
    <row r="45" spans="1:17">
      <c r="A45" s="9" t="s">
        <v>37</v>
      </c>
      <c r="B45" s="25" t="s">
        <v>37</v>
      </c>
      <c r="C45" s="25">
        <f t="shared" ref="C45:F45" si="29">SUM(C34:C44)</f>
        <v>616</v>
      </c>
      <c r="D45" s="25">
        <f t="shared" si="29"/>
        <v>597</v>
      </c>
      <c r="E45" s="25">
        <f t="shared" si="29"/>
        <v>557</v>
      </c>
      <c r="F45" s="25">
        <f t="shared" si="29"/>
        <v>62</v>
      </c>
      <c r="G45" s="26">
        <f t="shared" ref="G45:H45" si="30">AVERAGE(G34:G44)</f>
        <v>0.86127610557767764</v>
      </c>
      <c r="H45" s="26">
        <f t="shared" si="30"/>
        <v>0.85537074112237022</v>
      </c>
      <c r="I45" s="25">
        <f t="shared" ref="I45:K45" si="31">SUM(I34:I44)</f>
        <v>953</v>
      </c>
      <c r="J45" s="25">
        <f t="shared" si="31"/>
        <v>473</v>
      </c>
      <c r="K45" s="25">
        <f t="shared" si="31"/>
        <v>358</v>
      </c>
      <c r="L45" s="26">
        <f t="shared" si="26"/>
        <v>0.7568710359408034</v>
      </c>
      <c r="M45" s="27">
        <f t="shared" ref="M45:Q45" si="32">SUM(M34:M44)</f>
        <v>50</v>
      </c>
      <c r="N45" s="25">
        <f t="shared" si="32"/>
        <v>24</v>
      </c>
      <c r="O45" s="25">
        <f t="shared" si="32"/>
        <v>141</v>
      </c>
      <c r="P45" s="27">
        <f t="shared" si="32"/>
        <v>342</v>
      </c>
      <c r="Q45" s="25">
        <f t="shared" si="32"/>
        <v>143</v>
      </c>
    </row>
    <row r="46" spans="1:17">
      <c r="G46" s="4"/>
      <c r="H46" s="4"/>
      <c r="L46" s="4"/>
    </row>
    <row r="47" spans="1:17">
      <c r="A47" s="2" t="s">
        <v>411</v>
      </c>
      <c r="G47" s="4"/>
      <c r="H47" s="4"/>
      <c r="L47" s="4"/>
    </row>
    <row r="48" spans="1:17">
      <c r="A48" s="73" t="s">
        <v>0</v>
      </c>
      <c r="B48" s="8"/>
      <c r="C48" s="70" t="s">
        <v>1</v>
      </c>
      <c r="D48" s="71"/>
      <c r="E48" s="71"/>
      <c r="F48" s="71"/>
      <c r="G48" s="71"/>
      <c r="H48" s="72"/>
      <c r="I48" s="70" t="s">
        <v>2</v>
      </c>
      <c r="J48" s="71"/>
      <c r="K48" s="71"/>
      <c r="L48" s="72"/>
      <c r="M48" s="70" t="s">
        <v>3</v>
      </c>
      <c r="N48" s="71"/>
      <c r="O48" s="72"/>
      <c r="P48" s="70" t="s">
        <v>4</v>
      </c>
      <c r="Q48" s="72"/>
    </row>
    <row r="49" spans="1:17">
      <c r="A49" s="74"/>
      <c r="B49" s="8" t="s">
        <v>0</v>
      </c>
      <c r="C49" s="8" t="s">
        <v>5</v>
      </c>
      <c r="D49" s="9" t="s">
        <v>6</v>
      </c>
      <c r="E49" s="8" t="s">
        <v>7</v>
      </c>
      <c r="F49" s="10" t="s">
        <v>8</v>
      </c>
      <c r="G49" s="11" t="s">
        <v>9</v>
      </c>
      <c r="H49" s="11" t="s">
        <v>10</v>
      </c>
      <c r="I49" s="8" t="s">
        <v>11</v>
      </c>
      <c r="J49" s="9" t="s">
        <v>6</v>
      </c>
      <c r="K49" s="8" t="s">
        <v>7</v>
      </c>
      <c r="L49" s="11" t="s">
        <v>9</v>
      </c>
      <c r="M49" s="8" t="s">
        <v>12</v>
      </c>
      <c r="N49" s="8" t="s">
        <v>13</v>
      </c>
      <c r="O49" s="12" t="s">
        <v>14</v>
      </c>
      <c r="P49" s="8" t="s">
        <v>12</v>
      </c>
      <c r="Q49" s="8" t="s">
        <v>13</v>
      </c>
    </row>
    <row r="50" spans="1:17">
      <c r="A50" s="8" t="s">
        <v>15</v>
      </c>
      <c r="B50" s="13" t="s">
        <v>16</v>
      </c>
      <c r="C50" s="14">
        <v>100</v>
      </c>
      <c r="D50" s="15">
        <v>110</v>
      </c>
      <c r="E50" s="28">
        <v>99</v>
      </c>
      <c r="F50" s="15">
        <v>1</v>
      </c>
      <c r="G50" s="16">
        <f t="shared" ref="G50:G60" si="33">E50/D50</f>
        <v>0.9</v>
      </c>
      <c r="H50" s="17">
        <f t="shared" ref="H50:H60" si="34">E50/(F50+E50)</f>
        <v>0.99</v>
      </c>
      <c r="I50" s="14">
        <v>193</v>
      </c>
      <c r="J50" s="15">
        <v>97</v>
      </c>
      <c r="K50" s="15">
        <v>97</v>
      </c>
      <c r="L50" s="17">
        <f t="shared" ref="L50:L61" si="35">K50/J50</f>
        <v>1</v>
      </c>
      <c r="M50" s="31">
        <v>7</v>
      </c>
      <c r="N50" s="32">
        <v>4</v>
      </c>
      <c r="O50" s="33">
        <v>53</v>
      </c>
      <c r="P50" s="21">
        <f t="shared" ref="P50:P60" si="36">E50-O50-M50-N50</f>
        <v>35</v>
      </c>
      <c r="Q50" s="22">
        <f t="shared" ref="Q50:Q60" si="37">K50-O50-N50-M50</f>
        <v>33</v>
      </c>
    </row>
    <row r="51" spans="1:17">
      <c r="A51" s="8" t="s">
        <v>17</v>
      </c>
      <c r="B51" s="13" t="s">
        <v>18</v>
      </c>
      <c r="C51" s="14">
        <v>157</v>
      </c>
      <c r="D51" s="15">
        <v>155</v>
      </c>
      <c r="E51" s="28">
        <v>149</v>
      </c>
      <c r="F51" s="15">
        <v>8</v>
      </c>
      <c r="G51" s="16">
        <f t="shared" si="33"/>
        <v>0.96129032258064517</v>
      </c>
      <c r="H51" s="17">
        <f t="shared" si="34"/>
        <v>0.94904458598726116</v>
      </c>
      <c r="I51" s="14">
        <v>145</v>
      </c>
      <c r="J51" s="15">
        <v>79</v>
      </c>
      <c r="K51" s="15">
        <v>68</v>
      </c>
      <c r="L51" s="17">
        <f t="shared" si="35"/>
        <v>0.86075949367088611</v>
      </c>
      <c r="M51" s="34">
        <v>3</v>
      </c>
      <c r="N51" s="35">
        <v>3</v>
      </c>
      <c r="O51" s="33">
        <v>45</v>
      </c>
      <c r="P51" s="18">
        <f t="shared" si="36"/>
        <v>98</v>
      </c>
      <c r="Q51" s="20">
        <f t="shared" si="37"/>
        <v>17</v>
      </c>
    </row>
    <row r="52" spans="1:17">
      <c r="A52" s="8" t="s">
        <v>19</v>
      </c>
      <c r="B52" s="13" t="s">
        <v>20</v>
      </c>
      <c r="C52" s="14">
        <v>59</v>
      </c>
      <c r="D52" s="15">
        <v>51</v>
      </c>
      <c r="E52" s="28">
        <v>44</v>
      </c>
      <c r="F52" s="15">
        <v>15</v>
      </c>
      <c r="G52" s="16">
        <f t="shared" si="33"/>
        <v>0.86274509803921573</v>
      </c>
      <c r="H52" s="17">
        <f t="shared" si="34"/>
        <v>0.74576271186440679</v>
      </c>
      <c r="I52" s="14">
        <v>137</v>
      </c>
      <c r="J52" s="15">
        <v>63</v>
      </c>
      <c r="K52" s="15">
        <v>31</v>
      </c>
      <c r="L52" s="17">
        <f t="shared" si="35"/>
        <v>0.49206349206349204</v>
      </c>
      <c r="M52" s="31">
        <v>8</v>
      </c>
      <c r="N52" s="32">
        <v>2</v>
      </c>
      <c r="O52" s="33">
        <v>3</v>
      </c>
      <c r="P52" s="21">
        <f t="shared" si="36"/>
        <v>31</v>
      </c>
      <c r="Q52" s="22">
        <f t="shared" si="37"/>
        <v>18</v>
      </c>
    </row>
    <row r="53" spans="1:17">
      <c r="A53" s="8" t="s">
        <v>21</v>
      </c>
      <c r="B53" s="13" t="s">
        <v>22</v>
      </c>
      <c r="C53" s="14">
        <v>50</v>
      </c>
      <c r="D53" s="15">
        <v>41</v>
      </c>
      <c r="E53" s="28">
        <v>34</v>
      </c>
      <c r="F53" s="15">
        <v>16</v>
      </c>
      <c r="G53" s="16">
        <f t="shared" si="33"/>
        <v>0.82926829268292679</v>
      </c>
      <c r="H53" s="17">
        <f t="shared" si="34"/>
        <v>0.68</v>
      </c>
      <c r="I53" s="14">
        <v>104</v>
      </c>
      <c r="J53" s="15">
        <v>55</v>
      </c>
      <c r="K53" s="15">
        <v>31</v>
      </c>
      <c r="L53" s="17">
        <f t="shared" si="35"/>
        <v>0.5636363636363636</v>
      </c>
      <c r="M53" s="31">
        <v>6</v>
      </c>
      <c r="N53" s="32">
        <v>1</v>
      </c>
      <c r="O53" s="33">
        <v>7</v>
      </c>
      <c r="P53" s="21">
        <f t="shared" si="36"/>
        <v>20</v>
      </c>
      <c r="Q53" s="22">
        <f t="shared" si="37"/>
        <v>17</v>
      </c>
    </row>
    <row r="54" spans="1:17">
      <c r="A54" s="8" t="s">
        <v>23</v>
      </c>
      <c r="B54" s="13" t="s">
        <v>24</v>
      </c>
      <c r="C54" s="14">
        <v>15</v>
      </c>
      <c r="D54" s="15">
        <v>13</v>
      </c>
      <c r="E54" s="28">
        <v>12</v>
      </c>
      <c r="F54" s="15">
        <v>3</v>
      </c>
      <c r="G54" s="16">
        <f t="shared" si="33"/>
        <v>0.92307692307692313</v>
      </c>
      <c r="H54" s="17">
        <f t="shared" si="34"/>
        <v>0.8</v>
      </c>
      <c r="I54" s="14">
        <v>17</v>
      </c>
      <c r="J54" s="15">
        <v>14</v>
      </c>
      <c r="K54" s="15">
        <v>12</v>
      </c>
      <c r="L54" s="17">
        <f t="shared" si="35"/>
        <v>0.8571428571428571</v>
      </c>
      <c r="M54" s="31">
        <v>3</v>
      </c>
      <c r="N54" s="32">
        <v>1</v>
      </c>
      <c r="O54" s="33">
        <v>2</v>
      </c>
      <c r="P54" s="21">
        <f t="shared" si="36"/>
        <v>6</v>
      </c>
      <c r="Q54" s="20">
        <f t="shared" si="37"/>
        <v>6</v>
      </c>
    </row>
    <row r="55" spans="1:17">
      <c r="A55" s="8" t="s">
        <v>25</v>
      </c>
      <c r="B55" s="13" t="s">
        <v>26</v>
      </c>
      <c r="C55" s="14">
        <v>6</v>
      </c>
      <c r="D55" s="15">
        <v>7</v>
      </c>
      <c r="E55" s="28">
        <v>5</v>
      </c>
      <c r="F55" s="15">
        <v>1</v>
      </c>
      <c r="G55" s="16">
        <f t="shared" si="33"/>
        <v>0.7142857142857143</v>
      </c>
      <c r="H55" s="17">
        <f t="shared" si="34"/>
        <v>0.83333333333333337</v>
      </c>
      <c r="I55" s="14">
        <v>6</v>
      </c>
      <c r="J55" s="13">
        <v>4</v>
      </c>
      <c r="K55" s="15">
        <v>3</v>
      </c>
      <c r="L55" s="17">
        <f t="shared" si="35"/>
        <v>0.75</v>
      </c>
      <c r="M55" s="34">
        <v>1</v>
      </c>
      <c r="N55" s="32">
        <v>1</v>
      </c>
      <c r="O55" s="33">
        <v>1</v>
      </c>
      <c r="P55" s="21">
        <f t="shared" si="36"/>
        <v>2</v>
      </c>
      <c r="Q55" s="20">
        <f t="shared" si="37"/>
        <v>0</v>
      </c>
    </row>
    <row r="56" spans="1:17">
      <c r="A56" s="8" t="s">
        <v>27</v>
      </c>
      <c r="B56" s="13" t="s">
        <v>28</v>
      </c>
      <c r="C56" s="14">
        <v>27</v>
      </c>
      <c r="D56" s="15">
        <v>27</v>
      </c>
      <c r="E56" s="28">
        <v>19</v>
      </c>
      <c r="F56" s="15">
        <v>8</v>
      </c>
      <c r="G56" s="16">
        <f t="shared" si="33"/>
        <v>0.70370370370370372</v>
      </c>
      <c r="H56" s="17">
        <f t="shared" si="34"/>
        <v>0.70370370370370372</v>
      </c>
      <c r="I56" s="24">
        <v>41</v>
      </c>
      <c r="J56" s="15">
        <v>21</v>
      </c>
      <c r="K56" s="15">
        <v>21</v>
      </c>
      <c r="L56" s="17">
        <f t="shared" si="35"/>
        <v>1</v>
      </c>
      <c r="M56" s="31">
        <v>6</v>
      </c>
      <c r="N56" s="32">
        <v>1</v>
      </c>
      <c r="O56" s="33">
        <v>2</v>
      </c>
      <c r="P56" s="21">
        <f t="shared" si="36"/>
        <v>10</v>
      </c>
      <c r="Q56" s="22">
        <f t="shared" si="37"/>
        <v>12</v>
      </c>
    </row>
    <row r="57" spans="1:17">
      <c r="A57" s="8" t="s">
        <v>29</v>
      </c>
      <c r="B57" s="13" t="s">
        <v>30</v>
      </c>
      <c r="C57" s="14">
        <v>21</v>
      </c>
      <c r="D57" s="15">
        <v>23</v>
      </c>
      <c r="E57" s="28">
        <v>17</v>
      </c>
      <c r="F57" s="15">
        <v>4</v>
      </c>
      <c r="G57" s="16">
        <f t="shared" si="33"/>
        <v>0.73913043478260865</v>
      </c>
      <c r="H57" s="17">
        <f t="shared" si="34"/>
        <v>0.80952380952380953</v>
      </c>
      <c r="I57" s="14">
        <v>50</v>
      </c>
      <c r="J57" s="15">
        <v>24</v>
      </c>
      <c r="K57" s="15">
        <v>19</v>
      </c>
      <c r="L57" s="17">
        <f t="shared" si="35"/>
        <v>0.79166666666666663</v>
      </c>
      <c r="M57" s="34">
        <v>3</v>
      </c>
      <c r="N57" s="35">
        <v>6</v>
      </c>
      <c r="O57" s="33">
        <v>4</v>
      </c>
      <c r="P57" s="21">
        <f t="shared" si="36"/>
        <v>4</v>
      </c>
      <c r="Q57" s="20">
        <f t="shared" si="37"/>
        <v>6</v>
      </c>
    </row>
    <row r="58" spans="1:17">
      <c r="A58" s="8" t="s">
        <v>31</v>
      </c>
      <c r="B58" s="13" t="s">
        <v>32</v>
      </c>
      <c r="C58" s="14">
        <v>16</v>
      </c>
      <c r="D58" s="15">
        <v>19</v>
      </c>
      <c r="E58" s="28">
        <v>15</v>
      </c>
      <c r="F58" s="15">
        <v>1</v>
      </c>
      <c r="G58" s="16">
        <f t="shared" si="33"/>
        <v>0.78947368421052633</v>
      </c>
      <c r="H58" s="17">
        <f t="shared" si="34"/>
        <v>0.9375</v>
      </c>
      <c r="I58" s="14">
        <v>68</v>
      </c>
      <c r="J58" s="15">
        <v>24</v>
      </c>
      <c r="K58" s="15">
        <v>19</v>
      </c>
      <c r="L58" s="17">
        <f t="shared" si="35"/>
        <v>0.79166666666666663</v>
      </c>
      <c r="M58" s="34">
        <v>0</v>
      </c>
      <c r="N58" s="35">
        <v>4</v>
      </c>
      <c r="O58" s="33">
        <v>8</v>
      </c>
      <c r="P58" s="21">
        <f t="shared" si="36"/>
        <v>3</v>
      </c>
      <c r="Q58" s="20">
        <f t="shared" si="37"/>
        <v>7</v>
      </c>
    </row>
    <row r="59" spans="1:17">
      <c r="A59" s="8" t="s">
        <v>33</v>
      </c>
      <c r="B59" s="13" t="s">
        <v>34</v>
      </c>
      <c r="C59" s="24">
        <v>4</v>
      </c>
      <c r="D59" s="15">
        <v>5</v>
      </c>
      <c r="E59" s="28">
        <v>3</v>
      </c>
      <c r="F59" s="15">
        <v>1</v>
      </c>
      <c r="G59" s="16">
        <f t="shared" si="33"/>
        <v>0.6</v>
      </c>
      <c r="H59" s="17">
        <f t="shared" si="34"/>
        <v>0.75</v>
      </c>
      <c r="I59" s="14">
        <v>60</v>
      </c>
      <c r="J59" s="15">
        <v>14</v>
      </c>
      <c r="K59" s="15">
        <v>8</v>
      </c>
      <c r="L59" s="17">
        <f t="shared" si="35"/>
        <v>0.5714285714285714</v>
      </c>
      <c r="M59" s="34">
        <v>0</v>
      </c>
      <c r="N59" s="32">
        <v>0</v>
      </c>
      <c r="O59" s="33">
        <v>1</v>
      </c>
      <c r="P59" s="21">
        <f t="shared" si="36"/>
        <v>2</v>
      </c>
      <c r="Q59" s="20">
        <f t="shared" si="37"/>
        <v>7</v>
      </c>
    </row>
    <row r="60" spans="1:17">
      <c r="A60" s="8" t="s">
        <v>35</v>
      </c>
      <c r="B60" s="13" t="s">
        <v>36</v>
      </c>
      <c r="C60" s="14">
        <v>161</v>
      </c>
      <c r="D60" s="15">
        <v>145</v>
      </c>
      <c r="E60" s="28">
        <v>135</v>
      </c>
      <c r="F60" s="15">
        <v>23</v>
      </c>
      <c r="G60" s="16">
        <f t="shared" si="33"/>
        <v>0.93103448275862066</v>
      </c>
      <c r="H60" s="17">
        <f t="shared" si="34"/>
        <v>0.85443037974683544</v>
      </c>
      <c r="I60" s="14">
        <v>132</v>
      </c>
      <c r="J60" s="15">
        <v>78</v>
      </c>
      <c r="K60" s="15">
        <v>49</v>
      </c>
      <c r="L60" s="17">
        <f t="shared" si="35"/>
        <v>0.62820512820512819</v>
      </c>
      <c r="M60" s="31">
        <v>7</v>
      </c>
      <c r="N60" s="32">
        <v>0</v>
      </c>
      <c r="O60" s="33">
        <v>11</v>
      </c>
      <c r="P60" s="18">
        <f t="shared" si="36"/>
        <v>117</v>
      </c>
      <c r="Q60" s="20">
        <f t="shared" si="37"/>
        <v>31</v>
      </c>
    </row>
    <row r="61" spans="1:17">
      <c r="A61" s="9" t="s">
        <v>37</v>
      </c>
      <c r="B61" s="25" t="s">
        <v>37</v>
      </c>
      <c r="C61" s="25">
        <f t="shared" ref="C61:F61" si="38">SUM(C50:C60)</f>
        <v>616</v>
      </c>
      <c r="D61" s="25">
        <f t="shared" si="38"/>
        <v>596</v>
      </c>
      <c r="E61" s="25">
        <f t="shared" si="38"/>
        <v>532</v>
      </c>
      <c r="F61" s="25">
        <f t="shared" si="38"/>
        <v>81</v>
      </c>
      <c r="G61" s="26">
        <f t="shared" ref="G61:H61" si="39">AVERAGE(G50:G60)</f>
        <v>0.81400078692008038</v>
      </c>
      <c r="H61" s="26">
        <f t="shared" si="39"/>
        <v>0.82302713855994092</v>
      </c>
      <c r="I61" s="25">
        <f t="shared" ref="I61:K61" si="40">SUM(I50:I60)</f>
        <v>953</v>
      </c>
      <c r="J61" s="25">
        <f t="shared" si="40"/>
        <v>473</v>
      </c>
      <c r="K61" s="25">
        <f t="shared" si="40"/>
        <v>358</v>
      </c>
      <c r="L61" s="26">
        <f t="shared" si="35"/>
        <v>0.7568710359408034</v>
      </c>
      <c r="M61" s="27">
        <f t="shared" ref="M61:Q61" si="41">SUM(M50:M60)</f>
        <v>44</v>
      </c>
      <c r="N61" s="25">
        <f t="shared" si="41"/>
        <v>23</v>
      </c>
      <c r="O61" s="25">
        <f t="shared" si="41"/>
        <v>137</v>
      </c>
      <c r="P61" s="27">
        <f t="shared" si="41"/>
        <v>328</v>
      </c>
      <c r="Q61" s="25">
        <f t="shared" si="41"/>
        <v>154</v>
      </c>
    </row>
    <row r="62" spans="1:17">
      <c r="G62" s="4"/>
      <c r="H62" s="4"/>
      <c r="L62" s="4"/>
    </row>
    <row r="63" spans="1:17">
      <c r="A63" s="2" t="s">
        <v>412</v>
      </c>
      <c r="G63" s="4"/>
      <c r="H63" s="4"/>
      <c r="L63" s="4"/>
    </row>
    <row r="64" spans="1:17">
      <c r="A64" s="73" t="s">
        <v>0</v>
      </c>
      <c r="B64" s="8"/>
      <c r="C64" s="70" t="s">
        <v>1</v>
      </c>
      <c r="D64" s="71"/>
      <c r="E64" s="71"/>
      <c r="F64" s="71"/>
      <c r="G64" s="71"/>
      <c r="H64" s="72"/>
      <c r="I64" s="70" t="s">
        <v>2</v>
      </c>
      <c r="J64" s="71"/>
      <c r="K64" s="71"/>
      <c r="L64" s="72"/>
      <c r="M64" s="70" t="s">
        <v>3</v>
      </c>
      <c r="N64" s="71"/>
      <c r="O64" s="72"/>
      <c r="P64" s="70" t="s">
        <v>4</v>
      </c>
      <c r="Q64" s="72"/>
    </row>
    <row r="65" spans="1:17">
      <c r="A65" s="74"/>
      <c r="B65" s="8" t="s">
        <v>0</v>
      </c>
      <c r="C65" s="8" t="s">
        <v>5</v>
      </c>
      <c r="D65" s="9" t="s">
        <v>6</v>
      </c>
      <c r="E65" s="8" t="s">
        <v>7</v>
      </c>
      <c r="F65" s="10" t="s">
        <v>8</v>
      </c>
      <c r="G65" s="11" t="s">
        <v>9</v>
      </c>
      <c r="H65" s="11" t="s">
        <v>10</v>
      </c>
      <c r="I65" s="8" t="s">
        <v>11</v>
      </c>
      <c r="J65" s="9" t="s">
        <v>6</v>
      </c>
      <c r="K65" s="8" t="s">
        <v>7</v>
      </c>
      <c r="L65" s="11" t="s">
        <v>9</v>
      </c>
      <c r="M65" s="8" t="s">
        <v>12</v>
      </c>
      <c r="N65" s="8" t="s">
        <v>13</v>
      </c>
      <c r="O65" s="12" t="s">
        <v>14</v>
      </c>
      <c r="P65" s="8" t="s">
        <v>12</v>
      </c>
      <c r="Q65" s="8" t="s">
        <v>13</v>
      </c>
    </row>
    <row r="66" spans="1:17">
      <c r="A66" s="8" t="s">
        <v>15</v>
      </c>
      <c r="B66" s="13" t="s">
        <v>16</v>
      </c>
      <c r="C66" s="14">
        <v>100</v>
      </c>
      <c r="D66" s="15">
        <v>104</v>
      </c>
      <c r="E66" s="28">
        <v>99</v>
      </c>
      <c r="F66" s="15">
        <v>1</v>
      </c>
      <c r="G66" s="16">
        <f t="shared" ref="G66:G76" si="42">E66/D66</f>
        <v>0.95192307692307687</v>
      </c>
      <c r="H66" s="17">
        <f t="shared" ref="H66:H76" si="43">E66/(F66+E66)</f>
        <v>0.99</v>
      </c>
      <c r="I66" s="14">
        <v>193</v>
      </c>
      <c r="J66" s="15">
        <v>97</v>
      </c>
      <c r="K66" s="15">
        <v>97</v>
      </c>
      <c r="L66" s="17">
        <f t="shared" ref="L66:L77" si="44">K66/J66</f>
        <v>1</v>
      </c>
      <c r="M66" s="29">
        <v>7</v>
      </c>
      <c r="N66" s="15">
        <v>4</v>
      </c>
      <c r="O66" s="30">
        <v>53</v>
      </c>
      <c r="P66" s="21">
        <f t="shared" ref="P66:P76" si="45">E66-O66-M66-N66</f>
        <v>35</v>
      </c>
      <c r="Q66" s="22">
        <f t="shared" ref="Q66:Q76" si="46">K66-O66-N66-M66</f>
        <v>33</v>
      </c>
    </row>
    <row r="67" spans="1:17">
      <c r="A67" s="8" t="s">
        <v>17</v>
      </c>
      <c r="B67" s="13" t="s">
        <v>18</v>
      </c>
      <c r="C67" s="14">
        <v>157</v>
      </c>
      <c r="D67" s="15">
        <v>155</v>
      </c>
      <c r="E67" s="28">
        <v>154</v>
      </c>
      <c r="F67" s="15">
        <v>6</v>
      </c>
      <c r="G67" s="16">
        <f t="shared" si="42"/>
        <v>0.99354838709677418</v>
      </c>
      <c r="H67" s="17">
        <f t="shared" si="43"/>
        <v>0.96250000000000002</v>
      </c>
      <c r="I67" s="14">
        <v>145</v>
      </c>
      <c r="J67" s="15">
        <v>79</v>
      </c>
      <c r="K67" s="15">
        <v>68</v>
      </c>
      <c r="L67" s="17">
        <f t="shared" si="44"/>
        <v>0.86075949367088611</v>
      </c>
      <c r="M67" s="14">
        <v>3</v>
      </c>
      <c r="N67" s="28">
        <v>3</v>
      </c>
      <c r="O67" s="30">
        <v>45</v>
      </c>
      <c r="P67" s="18">
        <f t="shared" si="45"/>
        <v>103</v>
      </c>
      <c r="Q67" s="20">
        <f t="shared" si="46"/>
        <v>17</v>
      </c>
    </row>
    <row r="68" spans="1:17">
      <c r="A68" s="8" t="s">
        <v>19</v>
      </c>
      <c r="B68" s="13" t="s">
        <v>20</v>
      </c>
      <c r="C68" s="14">
        <v>59</v>
      </c>
      <c r="D68" s="15">
        <v>53</v>
      </c>
      <c r="E68" s="28">
        <v>52</v>
      </c>
      <c r="F68" s="15">
        <v>7</v>
      </c>
      <c r="G68" s="16">
        <f t="shared" si="42"/>
        <v>0.98113207547169812</v>
      </c>
      <c r="H68" s="17">
        <f t="shared" si="43"/>
        <v>0.88135593220338981</v>
      </c>
      <c r="I68" s="14">
        <v>137</v>
      </c>
      <c r="J68" s="15">
        <v>63</v>
      </c>
      <c r="K68" s="15">
        <v>31</v>
      </c>
      <c r="L68" s="17">
        <f t="shared" si="44"/>
        <v>0.49206349206349204</v>
      </c>
      <c r="M68" s="29">
        <v>10</v>
      </c>
      <c r="N68" s="15">
        <v>3</v>
      </c>
      <c r="O68" s="30">
        <v>6</v>
      </c>
      <c r="P68" s="21">
        <f t="shared" si="45"/>
        <v>33</v>
      </c>
      <c r="Q68" s="22">
        <f t="shared" si="46"/>
        <v>12</v>
      </c>
    </row>
    <row r="69" spans="1:17">
      <c r="A69" s="8" t="s">
        <v>21</v>
      </c>
      <c r="B69" s="13" t="s">
        <v>22</v>
      </c>
      <c r="C69" s="14">
        <v>50</v>
      </c>
      <c r="D69" s="15">
        <v>42</v>
      </c>
      <c r="E69" s="28">
        <v>38</v>
      </c>
      <c r="F69" s="15">
        <v>12</v>
      </c>
      <c r="G69" s="16">
        <f t="shared" si="42"/>
        <v>0.90476190476190477</v>
      </c>
      <c r="H69" s="17">
        <f t="shared" si="43"/>
        <v>0.76</v>
      </c>
      <c r="I69" s="14">
        <v>104</v>
      </c>
      <c r="J69" s="15">
        <v>55</v>
      </c>
      <c r="K69" s="15">
        <v>31</v>
      </c>
      <c r="L69" s="17">
        <f t="shared" si="44"/>
        <v>0.5636363636363636</v>
      </c>
      <c r="M69" s="29">
        <v>6</v>
      </c>
      <c r="N69" s="15">
        <v>1</v>
      </c>
      <c r="O69" s="30">
        <v>10</v>
      </c>
      <c r="P69" s="21">
        <f t="shared" si="45"/>
        <v>21</v>
      </c>
      <c r="Q69" s="22">
        <f t="shared" si="46"/>
        <v>14</v>
      </c>
    </row>
    <row r="70" spans="1:17">
      <c r="A70" s="8" t="s">
        <v>23</v>
      </c>
      <c r="B70" s="13" t="s">
        <v>24</v>
      </c>
      <c r="C70" s="14">
        <v>15</v>
      </c>
      <c r="D70" s="15">
        <v>12</v>
      </c>
      <c r="E70" s="28">
        <v>11</v>
      </c>
      <c r="F70" s="15">
        <v>4</v>
      </c>
      <c r="G70" s="16">
        <f t="shared" si="42"/>
        <v>0.91666666666666663</v>
      </c>
      <c r="H70" s="17">
        <f t="shared" si="43"/>
        <v>0.73333333333333328</v>
      </c>
      <c r="I70" s="14">
        <v>17</v>
      </c>
      <c r="J70" s="15">
        <v>14</v>
      </c>
      <c r="K70" s="15">
        <v>12</v>
      </c>
      <c r="L70" s="17">
        <f t="shared" si="44"/>
        <v>0.8571428571428571</v>
      </c>
      <c r="M70" s="29">
        <v>3</v>
      </c>
      <c r="N70" s="15">
        <v>1</v>
      </c>
      <c r="O70" s="30">
        <v>2</v>
      </c>
      <c r="P70" s="21">
        <f t="shared" si="45"/>
        <v>5</v>
      </c>
      <c r="Q70" s="20">
        <f t="shared" si="46"/>
        <v>6</v>
      </c>
    </row>
    <row r="71" spans="1:17">
      <c r="A71" s="8" t="s">
        <v>25</v>
      </c>
      <c r="B71" s="13" t="s">
        <v>26</v>
      </c>
      <c r="C71" s="14">
        <v>6</v>
      </c>
      <c r="D71" s="15">
        <v>7</v>
      </c>
      <c r="E71" s="28">
        <v>5</v>
      </c>
      <c r="F71" s="15">
        <v>1</v>
      </c>
      <c r="G71" s="16">
        <f t="shared" si="42"/>
        <v>0.7142857142857143</v>
      </c>
      <c r="H71" s="17">
        <f t="shared" si="43"/>
        <v>0.83333333333333337</v>
      </c>
      <c r="I71" s="14">
        <v>6</v>
      </c>
      <c r="J71" s="13">
        <v>4</v>
      </c>
      <c r="K71" s="15">
        <v>3</v>
      </c>
      <c r="L71" s="17">
        <f t="shared" si="44"/>
        <v>0.75</v>
      </c>
      <c r="M71" s="14">
        <v>1</v>
      </c>
      <c r="N71" s="15">
        <v>1</v>
      </c>
      <c r="O71" s="30">
        <v>1</v>
      </c>
      <c r="P71" s="21">
        <f t="shared" si="45"/>
        <v>2</v>
      </c>
      <c r="Q71" s="20">
        <f t="shared" si="46"/>
        <v>0</v>
      </c>
    </row>
    <row r="72" spans="1:17">
      <c r="A72" s="8" t="s">
        <v>27</v>
      </c>
      <c r="B72" s="13" t="s">
        <v>28</v>
      </c>
      <c r="C72" s="14">
        <v>27</v>
      </c>
      <c r="D72" s="15">
        <v>27</v>
      </c>
      <c r="E72" s="28">
        <v>21</v>
      </c>
      <c r="F72" s="15">
        <v>6</v>
      </c>
      <c r="G72" s="16">
        <f t="shared" si="42"/>
        <v>0.77777777777777779</v>
      </c>
      <c r="H72" s="17">
        <f t="shared" si="43"/>
        <v>0.77777777777777779</v>
      </c>
      <c r="I72" s="24">
        <v>41</v>
      </c>
      <c r="J72" s="15">
        <v>21</v>
      </c>
      <c r="K72" s="15">
        <v>21</v>
      </c>
      <c r="L72" s="17">
        <f t="shared" si="44"/>
        <v>1</v>
      </c>
      <c r="M72" s="29">
        <v>7</v>
      </c>
      <c r="N72" s="15">
        <v>1</v>
      </c>
      <c r="O72" s="30">
        <v>2</v>
      </c>
      <c r="P72" s="21">
        <f t="shared" si="45"/>
        <v>11</v>
      </c>
      <c r="Q72" s="22">
        <f t="shared" si="46"/>
        <v>11</v>
      </c>
    </row>
    <row r="73" spans="1:17">
      <c r="A73" s="8" t="s">
        <v>29</v>
      </c>
      <c r="B73" s="13" t="s">
        <v>30</v>
      </c>
      <c r="C73" s="14">
        <v>21</v>
      </c>
      <c r="D73" s="15">
        <v>22</v>
      </c>
      <c r="E73" s="28">
        <v>16</v>
      </c>
      <c r="F73" s="15">
        <v>5</v>
      </c>
      <c r="G73" s="16">
        <f t="shared" si="42"/>
        <v>0.72727272727272729</v>
      </c>
      <c r="H73" s="17">
        <f t="shared" si="43"/>
        <v>0.76190476190476186</v>
      </c>
      <c r="I73" s="14">
        <v>50</v>
      </c>
      <c r="J73" s="15">
        <v>24</v>
      </c>
      <c r="K73" s="15">
        <v>19</v>
      </c>
      <c r="L73" s="17">
        <f t="shared" si="44"/>
        <v>0.79166666666666663</v>
      </c>
      <c r="M73" s="14">
        <v>3</v>
      </c>
      <c r="N73" s="28">
        <v>5</v>
      </c>
      <c r="O73" s="30">
        <v>3</v>
      </c>
      <c r="P73" s="21">
        <f t="shared" si="45"/>
        <v>5</v>
      </c>
      <c r="Q73" s="20">
        <f t="shared" si="46"/>
        <v>8</v>
      </c>
    </row>
    <row r="74" spans="1:17">
      <c r="A74" s="8" t="s">
        <v>31</v>
      </c>
      <c r="B74" s="13" t="s">
        <v>32</v>
      </c>
      <c r="C74" s="14">
        <v>16</v>
      </c>
      <c r="D74" s="15">
        <v>19</v>
      </c>
      <c r="E74" s="28">
        <v>15</v>
      </c>
      <c r="F74" s="15">
        <v>1</v>
      </c>
      <c r="G74" s="16">
        <f t="shared" si="42"/>
        <v>0.78947368421052633</v>
      </c>
      <c r="H74" s="17">
        <f t="shared" si="43"/>
        <v>0.9375</v>
      </c>
      <c r="I74" s="14">
        <v>68</v>
      </c>
      <c r="J74" s="15">
        <v>24</v>
      </c>
      <c r="K74" s="15">
        <v>19</v>
      </c>
      <c r="L74" s="17">
        <f t="shared" si="44"/>
        <v>0.79166666666666663</v>
      </c>
      <c r="M74" s="14">
        <v>0</v>
      </c>
      <c r="N74" s="28">
        <v>4</v>
      </c>
      <c r="O74" s="30">
        <v>8</v>
      </c>
      <c r="P74" s="21">
        <f t="shared" si="45"/>
        <v>3</v>
      </c>
      <c r="Q74" s="20">
        <f t="shared" si="46"/>
        <v>7</v>
      </c>
    </row>
    <row r="75" spans="1:17">
      <c r="A75" s="8" t="s">
        <v>33</v>
      </c>
      <c r="B75" s="13" t="s">
        <v>34</v>
      </c>
      <c r="C75" s="24">
        <v>4</v>
      </c>
      <c r="D75" s="15">
        <v>5</v>
      </c>
      <c r="E75" s="28">
        <v>3</v>
      </c>
      <c r="F75" s="15">
        <v>1</v>
      </c>
      <c r="G75" s="16">
        <f t="shared" si="42"/>
        <v>0.6</v>
      </c>
      <c r="H75" s="17">
        <f t="shared" si="43"/>
        <v>0.75</v>
      </c>
      <c r="I75" s="14">
        <v>60</v>
      </c>
      <c r="J75" s="15">
        <v>14</v>
      </c>
      <c r="K75" s="15">
        <v>8</v>
      </c>
      <c r="L75" s="17">
        <f t="shared" si="44"/>
        <v>0.5714285714285714</v>
      </c>
      <c r="M75" s="14">
        <v>0</v>
      </c>
      <c r="N75" s="15">
        <v>0</v>
      </c>
      <c r="O75" s="30">
        <v>1</v>
      </c>
      <c r="P75" s="21">
        <f t="shared" si="45"/>
        <v>2</v>
      </c>
      <c r="Q75" s="20">
        <f t="shared" si="46"/>
        <v>7</v>
      </c>
    </row>
    <row r="76" spans="1:17">
      <c r="A76" s="8" t="s">
        <v>35</v>
      </c>
      <c r="B76" s="13" t="s">
        <v>36</v>
      </c>
      <c r="C76" s="14">
        <v>161</v>
      </c>
      <c r="D76" s="15">
        <v>144</v>
      </c>
      <c r="E76" s="28">
        <v>137</v>
      </c>
      <c r="F76" s="15">
        <v>24</v>
      </c>
      <c r="G76" s="16">
        <f t="shared" si="42"/>
        <v>0.95138888888888884</v>
      </c>
      <c r="H76" s="17">
        <f t="shared" si="43"/>
        <v>0.85093167701863359</v>
      </c>
      <c r="I76" s="14">
        <v>132</v>
      </c>
      <c r="J76" s="15">
        <v>78</v>
      </c>
      <c r="K76" s="15">
        <v>49</v>
      </c>
      <c r="L76" s="17">
        <f t="shared" si="44"/>
        <v>0.62820512820512819</v>
      </c>
      <c r="M76" s="29">
        <v>8</v>
      </c>
      <c r="N76" s="15">
        <v>0</v>
      </c>
      <c r="O76" s="30">
        <v>10</v>
      </c>
      <c r="P76" s="18">
        <f t="shared" si="45"/>
        <v>119</v>
      </c>
      <c r="Q76" s="20">
        <f t="shared" si="46"/>
        <v>31</v>
      </c>
    </row>
    <row r="77" spans="1:17">
      <c r="A77" s="9" t="s">
        <v>37</v>
      </c>
      <c r="B77" s="25" t="s">
        <v>37</v>
      </c>
      <c r="C77" s="25">
        <f t="shared" ref="C77:F77" si="47">SUM(C66:C76)</f>
        <v>616</v>
      </c>
      <c r="D77" s="25">
        <f t="shared" si="47"/>
        <v>590</v>
      </c>
      <c r="E77" s="25">
        <f t="shared" si="47"/>
        <v>551</v>
      </c>
      <c r="F77" s="25">
        <f t="shared" si="47"/>
        <v>68</v>
      </c>
      <c r="G77" s="26">
        <f t="shared" ref="G77:H77" si="48">AVERAGE(G66:G76)</f>
        <v>0.84620280939597781</v>
      </c>
      <c r="H77" s="26">
        <f t="shared" si="48"/>
        <v>0.83987607414283905</v>
      </c>
      <c r="I77" s="25">
        <f t="shared" ref="I77:K77" si="49">SUM(I66:I76)</f>
        <v>953</v>
      </c>
      <c r="J77" s="25">
        <f t="shared" si="49"/>
        <v>473</v>
      </c>
      <c r="K77" s="25">
        <f t="shared" si="49"/>
        <v>358</v>
      </c>
      <c r="L77" s="26">
        <f t="shared" si="44"/>
        <v>0.7568710359408034</v>
      </c>
      <c r="M77" s="27">
        <f t="shared" ref="M77:Q77" si="50">SUM(M66:M76)</f>
        <v>48</v>
      </c>
      <c r="N77" s="25">
        <f t="shared" si="50"/>
        <v>23</v>
      </c>
      <c r="O77" s="25">
        <f t="shared" si="50"/>
        <v>141</v>
      </c>
      <c r="P77" s="27">
        <f t="shared" si="50"/>
        <v>339</v>
      </c>
      <c r="Q77" s="25">
        <f t="shared" si="50"/>
        <v>146</v>
      </c>
    </row>
    <row r="78" spans="1:17">
      <c r="G78" s="4"/>
      <c r="H78" s="4"/>
      <c r="L78" s="4"/>
    </row>
    <row r="79" spans="1:17">
      <c r="A79" s="2" t="s">
        <v>413</v>
      </c>
      <c r="G79" s="4"/>
      <c r="H79" s="4"/>
      <c r="L79" s="4"/>
    </row>
    <row r="80" spans="1:17">
      <c r="A80" s="73" t="s">
        <v>0</v>
      </c>
      <c r="B80" s="8"/>
      <c r="C80" s="70" t="s">
        <v>1</v>
      </c>
      <c r="D80" s="71"/>
      <c r="E80" s="71"/>
      <c r="F80" s="71"/>
      <c r="G80" s="71"/>
      <c r="H80" s="72"/>
      <c r="I80" s="70" t="s">
        <v>2</v>
      </c>
      <c r="J80" s="71"/>
      <c r="K80" s="71"/>
      <c r="L80" s="72"/>
      <c r="M80" s="70" t="s">
        <v>3</v>
      </c>
      <c r="N80" s="71"/>
      <c r="O80" s="72"/>
      <c r="P80" s="70" t="s">
        <v>4</v>
      </c>
      <c r="Q80" s="72"/>
    </row>
    <row r="81" spans="1:17">
      <c r="A81" s="74"/>
      <c r="B81" s="8" t="s">
        <v>0</v>
      </c>
      <c r="C81" s="8" t="s">
        <v>5</v>
      </c>
      <c r="D81" s="9" t="s">
        <v>6</v>
      </c>
      <c r="E81" s="8" t="s">
        <v>7</v>
      </c>
      <c r="F81" s="10" t="s">
        <v>8</v>
      </c>
      <c r="G81" s="11" t="s">
        <v>9</v>
      </c>
      <c r="H81" s="11" t="s">
        <v>10</v>
      </c>
      <c r="I81" s="8" t="s">
        <v>11</v>
      </c>
      <c r="J81" s="9" t="s">
        <v>6</v>
      </c>
      <c r="K81" s="8" t="s">
        <v>7</v>
      </c>
      <c r="L81" s="11" t="s">
        <v>9</v>
      </c>
      <c r="M81" s="8" t="s">
        <v>12</v>
      </c>
      <c r="N81" s="8" t="s">
        <v>13</v>
      </c>
      <c r="O81" s="12" t="s">
        <v>14</v>
      </c>
      <c r="P81" s="8" t="s">
        <v>12</v>
      </c>
      <c r="Q81" s="8" t="s">
        <v>13</v>
      </c>
    </row>
    <row r="82" spans="1:17">
      <c r="A82" s="8" t="s">
        <v>15</v>
      </c>
      <c r="B82" s="13" t="s">
        <v>16</v>
      </c>
      <c r="C82" s="14">
        <v>100</v>
      </c>
      <c r="D82" s="15">
        <v>102</v>
      </c>
      <c r="E82" s="28">
        <v>97</v>
      </c>
      <c r="F82" s="15">
        <v>3</v>
      </c>
      <c r="G82" s="16">
        <f t="shared" ref="G82:G92" si="51">E82/D82</f>
        <v>0.9509803921568627</v>
      </c>
      <c r="H82" s="17">
        <f t="shared" ref="H82:H92" si="52">E82/(F82+E82)</f>
        <v>0.97</v>
      </c>
      <c r="I82" s="14">
        <v>193</v>
      </c>
      <c r="J82" s="15">
        <v>97</v>
      </c>
      <c r="K82" s="15">
        <v>97</v>
      </c>
      <c r="L82" s="17">
        <f t="shared" ref="L82:L93" si="53">K82/J82</f>
        <v>1</v>
      </c>
      <c r="M82" s="29">
        <v>7</v>
      </c>
      <c r="N82" s="15">
        <v>4</v>
      </c>
      <c r="O82" s="30">
        <v>51</v>
      </c>
      <c r="P82" s="21">
        <f t="shared" ref="P82:P92" si="54">E82-O82-M82-N82</f>
        <v>35</v>
      </c>
      <c r="Q82" s="22">
        <f t="shared" ref="Q82:Q92" si="55">K82-O82-N82-M82</f>
        <v>35</v>
      </c>
    </row>
    <row r="83" spans="1:17">
      <c r="A83" s="8" t="s">
        <v>17</v>
      </c>
      <c r="B83" s="13" t="s">
        <v>18</v>
      </c>
      <c r="C83" s="14">
        <v>157</v>
      </c>
      <c r="D83" s="15">
        <v>160</v>
      </c>
      <c r="E83" s="28">
        <v>160</v>
      </c>
      <c r="F83" s="15">
        <v>0</v>
      </c>
      <c r="G83" s="16">
        <f t="shared" si="51"/>
        <v>1</v>
      </c>
      <c r="H83" s="17">
        <f t="shared" si="52"/>
        <v>1</v>
      </c>
      <c r="I83" s="14">
        <v>145</v>
      </c>
      <c r="J83" s="15">
        <v>79</v>
      </c>
      <c r="K83" s="15">
        <v>68</v>
      </c>
      <c r="L83" s="17">
        <f t="shared" si="53"/>
        <v>0.86075949367088611</v>
      </c>
      <c r="M83" s="14">
        <v>3</v>
      </c>
      <c r="N83" s="28">
        <v>3</v>
      </c>
      <c r="O83" s="30">
        <v>47</v>
      </c>
      <c r="P83" s="18">
        <f t="shared" si="54"/>
        <v>107</v>
      </c>
      <c r="Q83" s="20">
        <f t="shared" si="55"/>
        <v>15</v>
      </c>
    </row>
    <row r="84" spans="1:17">
      <c r="A84" s="8" t="s">
        <v>19</v>
      </c>
      <c r="B84" s="13" t="s">
        <v>20</v>
      </c>
      <c r="C84" s="14">
        <v>59</v>
      </c>
      <c r="D84" s="15">
        <v>48</v>
      </c>
      <c r="E84" s="28">
        <v>47</v>
      </c>
      <c r="F84" s="15">
        <v>12</v>
      </c>
      <c r="G84" s="16">
        <f t="shared" si="51"/>
        <v>0.97916666666666663</v>
      </c>
      <c r="H84" s="17">
        <f t="shared" si="52"/>
        <v>0.79661016949152541</v>
      </c>
      <c r="I84" s="14">
        <v>137</v>
      </c>
      <c r="J84" s="15">
        <v>63</v>
      </c>
      <c r="K84" s="15">
        <v>31</v>
      </c>
      <c r="L84" s="17">
        <f t="shared" si="53"/>
        <v>0.49206349206349204</v>
      </c>
      <c r="M84" s="29">
        <v>10</v>
      </c>
      <c r="N84" s="15">
        <v>3</v>
      </c>
      <c r="O84" s="30">
        <v>4</v>
      </c>
      <c r="P84" s="21">
        <f t="shared" si="54"/>
        <v>30</v>
      </c>
      <c r="Q84" s="22">
        <f t="shared" si="55"/>
        <v>14</v>
      </c>
    </row>
    <row r="85" spans="1:17">
      <c r="A85" s="8" t="s">
        <v>21</v>
      </c>
      <c r="B85" s="13" t="s">
        <v>22</v>
      </c>
      <c r="C85" s="14">
        <v>50</v>
      </c>
      <c r="D85" s="15">
        <v>42</v>
      </c>
      <c r="E85" s="28">
        <v>39</v>
      </c>
      <c r="F85" s="15">
        <v>11</v>
      </c>
      <c r="G85" s="16">
        <f t="shared" si="51"/>
        <v>0.9285714285714286</v>
      </c>
      <c r="H85" s="17">
        <f t="shared" si="52"/>
        <v>0.78</v>
      </c>
      <c r="I85" s="14">
        <v>104</v>
      </c>
      <c r="J85" s="15">
        <v>55</v>
      </c>
      <c r="K85" s="15">
        <v>31</v>
      </c>
      <c r="L85" s="17">
        <f t="shared" si="53"/>
        <v>0.5636363636363636</v>
      </c>
      <c r="M85" s="29">
        <v>7</v>
      </c>
      <c r="N85" s="15">
        <v>1</v>
      </c>
      <c r="O85" s="30">
        <v>10</v>
      </c>
      <c r="P85" s="21">
        <f t="shared" si="54"/>
        <v>21</v>
      </c>
      <c r="Q85" s="22">
        <f t="shared" si="55"/>
        <v>13</v>
      </c>
    </row>
    <row r="86" spans="1:17">
      <c r="A86" s="8" t="s">
        <v>23</v>
      </c>
      <c r="B86" s="13" t="s">
        <v>24</v>
      </c>
      <c r="C86" s="14">
        <v>15</v>
      </c>
      <c r="D86" s="15">
        <v>13</v>
      </c>
      <c r="E86" s="28">
        <v>12</v>
      </c>
      <c r="F86" s="15">
        <v>3</v>
      </c>
      <c r="G86" s="16">
        <f t="shared" si="51"/>
        <v>0.92307692307692313</v>
      </c>
      <c r="H86" s="17">
        <f t="shared" si="52"/>
        <v>0.8</v>
      </c>
      <c r="I86" s="14">
        <v>17</v>
      </c>
      <c r="J86" s="15">
        <v>14</v>
      </c>
      <c r="K86" s="15">
        <v>12</v>
      </c>
      <c r="L86" s="17">
        <f t="shared" si="53"/>
        <v>0.8571428571428571</v>
      </c>
      <c r="M86" s="29">
        <v>4</v>
      </c>
      <c r="N86" s="15">
        <v>1</v>
      </c>
      <c r="O86" s="30">
        <v>2</v>
      </c>
      <c r="P86" s="21">
        <f t="shared" si="54"/>
        <v>5</v>
      </c>
      <c r="Q86" s="20">
        <f t="shared" si="55"/>
        <v>5</v>
      </c>
    </row>
    <row r="87" spans="1:17">
      <c r="A87" s="8" t="s">
        <v>25</v>
      </c>
      <c r="B87" s="13" t="s">
        <v>26</v>
      </c>
      <c r="C87" s="14">
        <v>6</v>
      </c>
      <c r="D87" s="15">
        <v>7</v>
      </c>
      <c r="E87" s="28">
        <v>5</v>
      </c>
      <c r="F87" s="15">
        <v>1</v>
      </c>
      <c r="G87" s="16">
        <f t="shared" si="51"/>
        <v>0.7142857142857143</v>
      </c>
      <c r="H87" s="17">
        <f t="shared" si="52"/>
        <v>0.83333333333333337</v>
      </c>
      <c r="I87" s="14">
        <v>6</v>
      </c>
      <c r="J87" s="13">
        <v>4</v>
      </c>
      <c r="K87" s="15">
        <v>3</v>
      </c>
      <c r="L87" s="17">
        <f t="shared" si="53"/>
        <v>0.75</v>
      </c>
      <c r="M87" s="14">
        <v>1</v>
      </c>
      <c r="N87" s="15">
        <v>1</v>
      </c>
      <c r="O87" s="30">
        <v>1</v>
      </c>
      <c r="P87" s="21">
        <f t="shared" si="54"/>
        <v>2</v>
      </c>
      <c r="Q87" s="20">
        <f t="shared" si="55"/>
        <v>0</v>
      </c>
    </row>
    <row r="88" spans="1:17">
      <c r="A88" s="8" t="s">
        <v>27</v>
      </c>
      <c r="B88" s="13" t="s">
        <v>28</v>
      </c>
      <c r="C88" s="14">
        <v>27</v>
      </c>
      <c r="D88" s="15">
        <v>26</v>
      </c>
      <c r="E88" s="28">
        <v>19</v>
      </c>
      <c r="F88" s="15">
        <v>8</v>
      </c>
      <c r="G88" s="16">
        <f t="shared" si="51"/>
        <v>0.73076923076923073</v>
      </c>
      <c r="H88" s="17">
        <f t="shared" si="52"/>
        <v>0.70370370370370372</v>
      </c>
      <c r="I88" s="24">
        <v>41</v>
      </c>
      <c r="J88" s="15">
        <v>21</v>
      </c>
      <c r="K88" s="15">
        <v>21</v>
      </c>
      <c r="L88" s="17">
        <f t="shared" si="53"/>
        <v>1</v>
      </c>
      <c r="M88" s="29">
        <v>6</v>
      </c>
      <c r="N88" s="15">
        <v>1</v>
      </c>
      <c r="O88" s="30">
        <v>2</v>
      </c>
      <c r="P88" s="21">
        <f t="shared" si="54"/>
        <v>10</v>
      </c>
      <c r="Q88" s="22">
        <f t="shared" si="55"/>
        <v>12</v>
      </c>
    </row>
    <row r="89" spans="1:17">
      <c r="A89" s="8" t="s">
        <v>29</v>
      </c>
      <c r="B89" s="13" t="s">
        <v>30</v>
      </c>
      <c r="C89" s="14">
        <v>21</v>
      </c>
      <c r="D89" s="15">
        <v>22</v>
      </c>
      <c r="E89" s="28">
        <v>17</v>
      </c>
      <c r="F89" s="15">
        <v>4</v>
      </c>
      <c r="G89" s="16">
        <f t="shared" si="51"/>
        <v>0.77272727272727271</v>
      </c>
      <c r="H89" s="17">
        <f t="shared" si="52"/>
        <v>0.80952380952380953</v>
      </c>
      <c r="I89" s="14">
        <v>50</v>
      </c>
      <c r="J89" s="15">
        <v>24</v>
      </c>
      <c r="K89" s="15">
        <v>19</v>
      </c>
      <c r="L89" s="17">
        <f t="shared" si="53"/>
        <v>0.79166666666666663</v>
      </c>
      <c r="M89" s="14">
        <v>3</v>
      </c>
      <c r="N89" s="28">
        <v>6</v>
      </c>
      <c r="O89" s="30">
        <v>4</v>
      </c>
      <c r="P89" s="21">
        <f t="shared" si="54"/>
        <v>4</v>
      </c>
      <c r="Q89" s="20">
        <f t="shared" si="55"/>
        <v>6</v>
      </c>
    </row>
    <row r="90" spans="1:17">
      <c r="A90" s="8" t="s">
        <v>31</v>
      </c>
      <c r="B90" s="13" t="s">
        <v>32</v>
      </c>
      <c r="C90" s="14">
        <v>16</v>
      </c>
      <c r="D90" s="15">
        <v>19</v>
      </c>
      <c r="E90" s="28">
        <v>15</v>
      </c>
      <c r="F90" s="15">
        <v>1</v>
      </c>
      <c r="G90" s="16">
        <f t="shared" si="51"/>
        <v>0.78947368421052633</v>
      </c>
      <c r="H90" s="17">
        <f t="shared" si="52"/>
        <v>0.9375</v>
      </c>
      <c r="I90" s="14">
        <v>68</v>
      </c>
      <c r="J90" s="15">
        <v>24</v>
      </c>
      <c r="K90" s="15">
        <v>19</v>
      </c>
      <c r="L90" s="17">
        <f t="shared" si="53"/>
        <v>0.79166666666666663</v>
      </c>
      <c r="M90" s="14">
        <v>0</v>
      </c>
      <c r="N90" s="28">
        <v>4</v>
      </c>
      <c r="O90" s="30">
        <v>8</v>
      </c>
      <c r="P90" s="21">
        <f t="shared" si="54"/>
        <v>3</v>
      </c>
      <c r="Q90" s="20">
        <f t="shared" si="55"/>
        <v>7</v>
      </c>
    </row>
    <row r="91" spans="1:17">
      <c r="A91" s="8" t="s">
        <v>33</v>
      </c>
      <c r="B91" s="13" t="s">
        <v>34</v>
      </c>
      <c r="C91" s="24">
        <v>4</v>
      </c>
      <c r="D91" s="15">
        <v>5</v>
      </c>
      <c r="E91" s="28">
        <v>3</v>
      </c>
      <c r="F91" s="15">
        <v>1</v>
      </c>
      <c r="G91" s="16">
        <f t="shared" si="51"/>
        <v>0.6</v>
      </c>
      <c r="H91" s="17">
        <f t="shared" si="52"/>
        <v>0.75</v>
      </c>
      <c r="I91" s="14">
        <v>60</v>
      </c>
      <c r="J91" s="15">
        <v>14</v>
      </c>
      <c r="K91" s="15">
        <v>8</v>
      </c>
      <c r="L91" s="17">
        <f t="shared" si="53"/>
        <v>0.5714285714285714</v>
      </c>
      <c r="M91" s="14">
        <v>0</v>
      </c>
      <c r="N91" s="15">
        <v>0</v>
      </c>
      <c r="O91" s="30">
        <v>1</v>
      </c>
      <c r="P91" s="21">
        <f t="shared" si="54"/>
        <v>2</v>
      </c>
      <c r="Q91" s="20">
        <f t="shared" si="55"/>
        <v>7</v>
      </c>
    </row>
    <row r="92" spans="1:17">
      <c r="A92" s="8" t="s">
        <v>35</v>
      </c>
      <c r="B92" s="13" t="s">
        <v>36</v>
      </c>
      <c r="C92" s="14">
        <v>161</v>
      </c>
      <c r="D92" s="15">
        <v>144</v>
      </c>
      <c r="E92" s="28">
        <v>136</v>
      </c>
      <c r="F92" s="15">
        <v>25</v>
      </c>
      <c r="G92" s="16">
        <f t="shared" si="51"/>
        <v>0.94444444444444442</v>
      </c>
      <c r="H92" s="17">
        <f t="shared" si="52"/>
        <v>0.84472049689440998</v>
      </c>
      <c r="I92" s="14">
        <v>132</v>
      </c>
      <c r="J92" s="15">
        <v>78</v>
      </c>
      <c r="K92" s="15">
        <v>49</v>
      </c>
      <c r="L92" s="17">
        <f t="shared" si="53"/>
        <v>0.62820512820512819</v>
      </c>
      <c r="M92" s="29">
        <v>8</v>
      </c>
      <c r="N92" s="15">
        <v>0</v>
      </c>
      <c r="O92" s="30">
        <v>11</v>
      </c>
      <c r="P92" s="18">
        <f t="shared" si="54"/>
        <v>117</v>
      </c>
      <c r="Q92" s="20">
        <f t="shared" si="55"/>
        <v>30</v>
      </c>
    </row>
    <row r="93" spans="1:17">
      <c r="A93" s="9" t="s">
        <v>37</v>
      </c>
      <c r="B93" s="25" t="s">
        <v>37</v>
      </c>
      <c r="C93" s="25">
        <f t="shared" ref="C93:F93" si="56">SUM(C82:C92)</f>
        <v>616</v>
      </c>
      <c r="D93" s="25">
        <f t="shared" si="56"/>
        <v>588</v>
      </c>
      <c r="E93" s="25">
        <f t="shared" si="56"/>
        <v>550</v>
      </c>
      <c r="F93" s="25">
        <f t="shared" si="56"/>
        <v>69</v>
      </c>
      <c r="G93" s="26">
        <f t="shared" ref="G93:H93" si="57">AVERAGE(G82:G92)</f>
        <v>0.84849961426446086</v>
      </c>
      <c r="H93" s="26">
        <f t="shared" si="57"/>
        <v>0.83867195572243469</v>
      </c>
      <c r="I93" s="25">
        <f t="shared" ref="I93:K93" si="58">SUM(I82:I92)</f>
        <v>953</v>
      </c>
      <c r="J93" s="25">
        <f t="shared" si="58"/>
        <v>473</v>
      </c>
      <c r="K93" s="25">
        <f t="shared" si="58"/>
        <v>358</v>
      </c>
      <c r="L93" s="26">
        <f t="shared" si="53"/>
        <v>0.7568710359408034</v>
      </c>
      <c r="M93" s="27">
        <f t="shared" ref="M93:Q93" si="59">SUM(M82:M92)</f>
        <v>49</v>
      </c>
      <c r="N93" s="25">
        <f t="shared" si="59"/>
        <v>24</v>
      </c>
      <c r="O93" s="25">
        <f t="shared" si="59"/>
        <v>141</v>
      </c>
      <c r="P93" s="27">
        <f t="shared" si="59"/>
        <v>336</v>
      </c>
      <c r="Q93" s="25">
        <f t="shared" si="59"/>
        <v>144</v>
      </c>
    </row>
    <row r="94" spans="1:17">
      <c r="G94" s="4"/>
      <c r="H94" s="4"/>
      <c r="L94" s="4"/>
    </row>
    <row r="95" spans="1:17" ht="24.75">
      <c r="A95" s="36" t="s">
        <v>39</v>
      </c>
      <c r="G95" s="4"/>
      <c r="H95" s="4"/>
      <c r="L95" s="4"/>
    </row>
    <row r="96" spans="1:17">
      <c r="A96" s="73" t="s">
        <v>0</v>
      </c>
      <c r="B96" s="8"/>
      <c r="C96" s="70" t="s">
        <v>1</v>
      </c>
      <c r="D96" s="71"/>
      <c r="E96" s="71"/>
      <c r="F96" s="71"/>
      <c r="G96" s="71"/>
      <c r="H96" s="72"/>
      <c r="I96" s="70" t="s">
        <v>2</v>
      </c>
      <c r="J96" s="71"/>
      <c r="K96" s="71"/>
      <c r="L96" s="72"/>
      <c r="M96" s="70" t="s">
        <v>3</v>
      </c>
      <c r="N96" s="71"/>
      <c r="O96" s="72"/>
      <c r="P96" s="70" t="s">
        <v>4</v>
      </c>
      <c r="Q96" s="72"/>
    </row>
    <row r="97" spans="1:18">
      <c r="A97" s="74"/>
      <c r="B97" s="8" t="s">
        <v>0</v>
      </c>
      <c r="C97" s="8" t="s">
        <v>5</v>
      </c>
      <c r="D97" s="9" t="s">
        <v>6</v>
      </c>
      <c r="E97" s="8" t="s">
        <v>7</v>
      </c>
      <c r="F97" s="10" t="s">
        <v>8</v>
      </c>
      <c r="G97" s="11" t="s">
        <v>9</v>
      </c>
      <c r="H97" s="11" t="s">
        <v>10</v>
      </c>
      <c r="I97" s="8" t="s">
        <v>11</v>
      </c>
      <c r="J97" s="9" t="s">
        <v>6</v>
      </c>
      <c r="K97" s="8" t="s">
        <v>7</v>
      </c>
      <c r="L97" s="11" t="s">
        <v>9</v>
      </c>
      <c r="M97" s="8" t="s">
        <v>12</v>
      </c>
      <c r="N97" s="8" t="s">
        <v>13</v>
      </c>
      <c r="O97" s="12" t="s">
        <v>14</v>
      </c>
      <c r="P97" s="8" t="s">
        <v>12</v>
      </c>
      <c r="Q97" s="8" t="s">
        <v>13</v>
      </c>
      <c r="R97" s="2" t="s">
        <v>40</v>
      </c>
    </row>
    <row r="98" spans="1:18">
      <c r="A98" s="8" t="s">
        <v>15</v>
      </c>
      <c r="B98" s="13" t="s">
        <v>16</v>
      </c>
      <c r="C98" s="14">
        <f t="shared" ref="C98:F108" si="60">AVERAGE(C18,C34,C50,C66,C82)</f>
        <v>100</v>
      </c>
      <c r="D98" s="14">
        <f t="shared" si="60"/>
        <v>102</v>
      </c>
      <c r="E98" s="14">
        <f t="shared" si="60"/>
        <v>94.6</v>
      </c>
      <c r="F98" s="37">
        <f t="shared" si="60"/>
        <v>4.4000000000000004</v>
      </c>
      <c r="G98" s="16">
        <f t="shared" ref="G98:G108" si="61">E98/D98</f>
        <v>0.92745098039215679</v>
      </c>
      <c r="H98" s="17">
        <f t="shared" ref="H98:H108" si="62">E98/(F98+E98)</f>
        <v>0.95555555555555549</v>
      </c>
      <c r="I98" s="14">
        <v>193</v>
      </c>
      <c r="J98" s="15">
        <v>97</v>
      </c>
      <c r="K98" s="15">
        <v>97</v>
      </c>
      <c r="L98" s="17">
        <f t="shared" ref="L98:L109" si="63">K98/J98</f>
        <v>1</v>
      </c>
      <c r="M98" s="14">
        <f t="shared" ref="M98:O108" ca="1" si="64">AVERAGE(M18,M34,M50,M66,M82)</f>
        <v>6.8</v>
      </c>
      <c r="N98" s="14">
        <f t="shared" ca="1" si="64"/>
        <v>4</v>
      </c>
      <c r="O98" s="14">
        <f t="shared" ca="1" si="64"/>
        <v>49.4</v>
      </c>
      <c r="P98" s="21">
        <f t="shared" ref="P98:P108" ca="1" si="65">E98-O98-M98-N98</f>
        <v>34.4</v>
      </c>
      <c r="Q98" s="22">
        <f t="shared" ref="Q98:Q108" ca="1" si="66">K98-O98-N98-M98</f>
        <v>36.800000000000004</v>
      </c>
      <c r="R98" s="7">
        <f t="shared" ref="R98:R109" si="67">D98 - E98</f>
        <v>7.4000000000000057</v>
      </c>
    </row>
    <row r="99" spans="1:18">
      <c r="A99" s="8" t="s">
        <v>17</v>
      </c>
      <c r="B99" s="13" t="s">
        <v>18</v>
      </c>
      <c r="C99" s="14">
        <f t="shared" si="60"/>
        <v>157</v>
      </c>
      <c r="D99" s="14">
        <f t="shared" si="60"/>
        <v>153.19999999999999</v>
      </c>
      <c r="E99" s="14">
        <f t="shared" si="60"/>
        <v>149</v>
      </c>
      <c r="F99" s="37">
        <f t="shared" si="60"/>
        <v>8.6</v>
      </c>
      <c r="G99" s="16">
        <f t="shared" si="61"/>
        <v>0.97258485639686687</v>
      </c>
      <c r="H99" s="17">
        <f t="shared" si="62"/>
        <v>0.94543147208121836</v>
      </c>
      <c r="I99" s="14">
        <v>145</v>
      </c>
      <c r="J99" s="15">
        <v>79</v>
      </c>
      <c r="K99" s="15">
        <v>68</v>
      </c>
      <c r="L99" s="17">
        <f t="shared" si="63"/>
        <v>0.86075949367088611</v>
      </c>
      <c r="M99" s="14">
        <f t="shared" ca="1" si="64"/>
        <v>2.8</v>
      </c>
      <c r="N99" s="14">
        <f t="shared" ca="1" si="64"/>
        <v>3</v>
      </c>
      <c r="O99" s="14">
        <f t="shared" ca="1" si="64"/>
        <v>43.6</v>
      </c>
      <c r="P99" s="18">
        <f t="shared" ca="1" si="65"/>
        <v>99.600000000000009</v>
      </c>
      <c r="Q99" s="20">
        <f t="shared" ca="1" si="66"/>
        <v>18.599999999999998</v>
      </c>
      <c r="R99" s="7">
        <f t="shared" si="67"/>
        <v>4.1999999999999886</v>
      </c>
    </row>
    <row r="100" spans="1:18">
      <c r="A100" s="8" t="s">
        <v>19</v>
      </c>
      <c r="B100" s="13" t="s">
        <v>20</v>
      </c>
      <c r="C100" s="14">
        <f t="shared" si="60"/>
        <v>59</v>
      </c>
      <c r="D100" s="14">
        <f t="shared" si="60"/>
        <v>48.2</v>
      </c>
      <c r="E100" s="14">
        <f t="shared" si="60"/>
        <v>43.8</v>
      </c>
      <c r="F100" s="37">
        <f t="shared" si="60"/>
        <v>12.4</v>
      </c>
      <c r="G100" s="16">
        <f t="shared" si="61"/>
        <v>0.90871369294605797</v>
      </c>
      <c r="H100" s="17">
        <f t="shared" si="62"/>
        <v>0.77935943060498225</v>
      </c>
      <c r="I100" s="14">
        <v>137</v>
      </c>
      <c r="J100" s="15">
        <v>63</v>
      </c>
      <c r="K100" s="15">
        <v>31</v>
      </c>
      <c r="L100" s="17">
        <f t="shared" si="63"/>
        <v>0.49206349206349204</v>
      </c>
      <c r="M100" s="14">
        <f t="shared" ca="1" si="64"/>
        <v>8.8000000000000007</v>
      </c>
      <c r="N100" s="14">
        <f t="shared" ca="1" si="64"/>
        <v>2.6</v>
      </c>
      <c r="O100" s="14">
        <f t="shared" ca="1" si="64"/>
        <v>3.6</v>
      </c>
      <c r="P100" s="21">
        <f t="shared" ca="1" si="65"/>
        <v>28.799999999999994</v>
      </c>
      <c r="Q100" s="22">
        <f t="shared" ca="1" si="66"/>
        <v>15.999999999999996</v>
      </c>
      <c r="R100" s="7">
        <f t="shared" si="67"/>
        <v>4.4000000000000057</v>
      </c>
    </row>
    <row r="101" spans="1:18">
      <c r="A101" s="8" t="s">
        <v>21</v>
      </c>
      <c r="B101" s="13" t="s">
        <v>22</v>
      </c>
      <c r="C101" s="14">
        <f t="shared" si="60"/>
        <v>50</v>
      </c>
      <c r="D101" s="14">
        <f t="shared" si="60"/>
        <v>39.4</v>
      </c>
      <c r="E101" s="14">
        <f t="shared" si="60"/>
        <v>35.4</v>
      </c>
      <c r="F101" s="37">
        <f t="shared" si="60"/>
        <v>12.4</v>
      </c>
      <c r="G101" s="16">
        <f t="shared" si="61"/>
        <v>0.89847715736040612</v>
      </c>
      <c r="H101" s="17">
        <f t="shared" si="62"/>
        <v>0.7405857740585774</v>
      </c>
      <c r="I101" s="14">
        <v>104</v>
      </c>
      <c r="J101" s="15">
        <v>55</v>
      </c>
      <c r="K101" s="15">
        <v>31</v>
      </c>
      <c r="L101" s="17">
        <f t="shared" si="63"/>
        <v>0.5636363636363636</v>
      </c>
      <c r="M101" s="14">
        <f t="shared" ca="1" si="64"/>
        <v>6.2</v>
      </c>
      <c r="N101" s="14">
        <f t="shared" ca="1" si="64"/>
        <v>1</v>
      </c>
      <c r="O101" s="14">
        <f t="shared" ca="1" si="64"/>
        <v>8</v>
      </c>
      <c r="P101" s="21">
        <f t="shared" ca="1" si="65"/>
        <v>20.2</v>
      </c>
      <c r="Q101" s="22">
        <f t="shared" ca="1" si="66"/>
        <v>15.8</v>
      </c>
      <c r="R101" s="7">
        <f t="shared" si="67"/>
        <v>4</v>
      </c>
    </row>
    <row r="102" spans="1:18">
      <c r="A102" s="8" t="s">
        <v>23</v>
      </c>
      <c r="B102" s="13" t="s">
        <v>24</v>
      </c>
      <c r="C102" s="14">
        <f t="shared" si="60"/>
        <v>15</v>
      </c>
      <c r="D102" s="14">
        <f t="shared" si="60"/>
        <v>12.6</v>
      </c>
      <c r="E102" s="14">
        <f t="shared" si="60"/>
        <v>11.8</v>
      </c>
      <c r="F102" s="37">
        <f t="shared" si="60"/>
        <v>3.2</v>
      </c>
      <c r="G102" s="16">
        <f t="shared" si="61"/>
        <v>0.93650793650793662</v>
      </c>
      <c r="H102" s="17">
        <f t="shared" si="62"/>
        <v>0.78666666666666674</v>
      </c>
      <c r="I102" s="14">
        <v>17</v>
      </c>
      <c r="J102" s="15">
        <v>14</v>
      </c>
      <c r="K102" s="15">
        <v>12</v>
      </c>
      <c r="L102" s="17">
        <f t="shared" si="63"/>
        <v>0.8571428571428571</v>
      </c>
      <c r="M102" s="14">
        <f t="shared" ca="1" si="64"/>
        <v>3.2</v>
      </c>
      <c r="N102" s="14">
        <f t="shared" ca="1" si="64"/>
        <v>1</v>
      </c>
      <c r="O102" s="14">
        <f t="shared" ca="1" si="64"/>
        <v>2.2000000000000002</v>
      </c>
      <c r="P102" s="21">
        <f t="shared" ca="1" si="65"/>
        <v>5.4000000000000012</v>
      </c>
      <c r="Q102" s="20">
        <f t="shared" ca="1" si="66"/>
        <v>5.6000000000000005</v>
      </c>
      <c r="R102" s="7">
        <f t="shared" si="67"/>
        <v>0.79999999999999893</v>
      </c>
    </row>
    <row r="103" spans="1:18">
      <c r="A103" s="8" t="s">
        <v>25</v>
      </c>
      <c r="B103" s="13" t="s">
        <v>26</v>
      </c>
      <c r="C103" s="14">
        <f t="shared" si="60"/>
        <v>6</v>
      </c>
      <c r="D103" s="14">
        <f t="shared" si="60"/>
        <v>7</v>
      </c>
      <c r="E103" s="14">
        <f t="shared" si="60"/>
        <v>5.2</v>
      </c>
      <c r="F103" s="37">
        <f t="shared" si="60"/>
        <v>0.8</v>
      </c>
      <c r="G103" s="16">
        <f t="shared" si="61"/>
        <v>0.74285714285714288</v>
      </c>
      <c r="H103" s="17">
        <f t="shared" si="62"/>
        <v>0.8666666666666667</v>
      </c>
      <c r="I103" s="14">
        <v>6</v>
      </c>
      <c r="J103" s="13">
        <v>4</v>
      </c>
      <c r="K103" s="15">
        <v>3</v>
      </c>
      <c r="L103" s="17">
        <f t="shared" si="63"/>
        <v>0.75</v>
      </c>
      <c r="M103" s="14">
        <f t="shared" ca="1" si="64"/>
        <v>1</v>
      </c>
      <c r="N103" s="14">
        <f t="shared" ca="1" si="64"/>
        <v>1</v>
      </c>
      <c r="O103" s="14">
        <f t="shared" ca="1" si="64"/>
        <v>1</v>
      </c>
      <c r="P103" s="21">
        <f t="shared" ca="1" si="65"/>
        <v>2.2000000000000002</v>
      </c>
      <c r="Q103" s="20">
        <f t="shared" ca="1" si="66"/>
        <v>0</v>
      </c>
      <c r="R103" s="7">
        <f t="shared" si="67"/>
        <v>1.7999999999999998</v>
      </c>
    </row>
    <row r="104" spans="1:18">
      <c r="A104" s="8" t="s">
        <v>27</v>
      </c>
      <c r="B104" s="13" t="s">
        <v>28</v>
      </c>
      <c r="C104" s="14">
        <f t="shared" si="60"/>
        <v>27</v>
      </c>
      <c r="D104" s="14">
        <f t="shared" si="60"/>
        <v>26.2</v>
      </c>
      <c r="E104" s="14">
        <f t="shared" si="60"/>
        <v>19.8</v>
      </c>
      <c r="F104" s="37">
        <f t="shared" si="60"/>
        <v>6.8</v>
      </c>
      <c r="G104" s="16">
        <f t="shared" si="61"/>
        <v>0.75572519083969469</v>
      </c>
      <c r="H104" s="17">
        <f t="shared" si="62"/>
        <v>0.74436090225563911</v>
      </c>
      <c r="I104" s="24">
        <v>41</v>
      </c>
      <c r="J104" s="15">
        <v>21</v>
      </c>
      <c r="K104" s="15">
        <v>21</v>
      </c>
      <c r="L104" s="17">
        <f t="shared" si="63"/>
        <v>1</v>
      </c>
      <c r="M104" s="14">
        <f t="shared" ca="1" si="64"/>
        <v>6.6</v>
      </c>
      <c r="N104" s="14">
        <f t="shared" ca="1" si="64"/>
        <v>1</v>
      </c>
      <c r="O104" s="14">
        <f t="shared" ca="1" si="64"/>
        <v>2</v>
      </c>
      <c r="P104" s="21">
        <f t="shared" ca="1" si="65"/>
        <v>10.200000000000001</v>
      </c>
      <c r="Q104" s="22">
        <f t="shared" ca="1" si="66"/>
        <v>11.4</v>
      </c>
      <c r="R104" s="7">
        <f t="shared" si="67"/>
        <v>6.3999999999999986</v>
      </c>
    </row>
    <row r="105" spans="1:18">
      <c r="A105" s="8" t="s">
        <v>29</v>
      </c>
      <c r="B105" s="13" t="s">
        <v>30</v>
      </c>
      <c r="C105" s="14">
        <f t="shared" si="60"/>
        <v>21</v>
      </c>
      <c r="D105" s="14">
        <f t="shared" si="60"/>
        <v>21.8</v>
      </c>
      <c r="E105" s="14">
        <f t="shared" si="60"/>
        <v>17.8</v>
      </c>
      <c r="F105" s="37">
        <f t="shared" si="60"/>
        <v>4.4000000000000004</v>
      </c>
      <c r="G105" s="16">
        <f t="shared" si="61"/>
        <v>0.8165137614678899</v>
      </c>
      <c r="H105" s="17">
        <f t="shared" si="62"/>
        <v>0.80180180180180172</v>
      </c>
      <c r="I105" s="14">
        <v>50</v>
      </c>
      <c r="J105" s="15">
        <v>24</v>
      </c>
      <c r="K105" s="15">
        <v>19</v>
      </c>
      <c r="L105" s="17">
        <f t="shared" si="63"/>
        <v>0.79166666666666663</v>
      </c>
      <c r="M105" s="14">
        <f t="shared" ca="1" si="64"/>
        <v>2.8</v>
      </c>
      <c r="N105" s="14">
        <f t="shared" ca="1" si="64"/>
        <v>5.8</v>
      </c>
      <c r="O105" s="14">
        <f t="shared" ca="1" si="64"/>
        <v>3.8</v>
      </c>
      <c r="P105" s="21">
        <f t="shared" ca="1" si="65"/>
        <v>5.3999999999999995</v>
      </c>
      <c r="Q105" s="20">
        <f t="shared" ca="1" si="66"/>
        <v>6.5999999999999988</v>
      </c>
      <c r="R105" s="7">
        <f t="shared" si="67"/>
        <v>4</v>
      </c>
    </row>
    <row r="106" spans="1:18">
      <c r="A106" s="8" t="s">
        <v>31</v>
      </c>
      <c r="B106" s="13" t="s">
        <v>32</v>
      </c>
      <c r="C106" s="14">
        <f t="shared" si="60"/>
        <v>16</v>
      </c>
      <c r="D106" s="14">
        <f t="shared" si="60"/>
        <v>18.8</v>
      </c>
      <c r="E106" s="14">
        <f t="shared" si="60"/>
        <v>15.4</v>
      </c>
      <c r="F106" s="37">
        <f t="shared" si="60"/>
        <v>1</v>
      </c>
      <c r="G106" s="16">
        <f t="shared" si="61"/>
        <v>0.81914893617021278</v>
      </c>
      <c r="H106" s="17">
        <f t="shared" si="62"/>
        <v>0.9390243902439025</v>
      </c>
      <c r="I106" s="14">
        <v>68</v>
      </c>
      <c r="J106" s="15">
        <v>24</v>
      </c>
      <c r="K106" s="15">
        <v>19</v>
      </c>
      <c r="L106" s="17">
        <f t="shared" si="63"/>
        <v>0.79166666666666663</v>
      </c>
      <c r="M106" s="14">
        <f t="shared" ca="1" si="64"/>
        <v>0</v>
      </c>
      <c r="N106" s="14">
        <f t="shared" ca="1" si="64"/>
        <v>3.8</v>
      </c>
      <c r="O106" s="14">
        <f t="shared" ca="1" si="64"/>
        <v>8.1999999999999993</v>
      </c>
      <c r="P106" s="21">
        <f t="shared" ca="1" si="65"/>
        <v>3.4000000000000012</v>
      </c>
      <c r="Q106" s="20">
        <f t="shared" ca="1" si="66"/>
        <v>7.0000000000000009</v>
      </c>
      <c r="R106" s="7">
        <f t="shared" si="67"/>
        <v>3.4000000000000004</v>
      </c>
    </row>
    <row r="107" spans="1:18">
      <c r="A107" s="8" t="s">
        <v>33</v>
      </c>
      <c r="B107" s="13" t="s">
        <v>34</v>
      </c>
      <c r="C107" s="14">
        <f t="shared" si="60"/>
        <v>4</v>
      </c>
      <c r="D107" s="14">
        <f t="shared" si="60"/>
        <v>5</v>
      </c>
      <c r="E107" s="14">
        <f t="shared" si="60"/>
        <v>3.2</v>
      </c>
      <c r="F107" s="37">
        <f t="shared" si="60"/>
        <v>0.8</v>
      </c>
      <c r="G107" s="16">
        <f t="shared" si="61"/>
        <v>0.64</v>
      </c>
      <c r="H107" s="17">
        <f t="shared" si="62"/>
        <v>0.8</v>
      </c>
      <c r="I107" s="14">
        <v>60</v>
      </c>
      <c r="J107" s="15">
        <v>14</v>
      </c>
      <c r="K107" s="15">
        <v>8</v>
      </c>
      <c r="L107" s="17">
        <f t="shared" si="63"/>
        <v>0.5714285714285714</v>
      </c>
      <c r="M107" s="14">
        <f t="shared" ca="1" si="64"/>
        <v>0</v>
      </c>
      <c r="N107" s="14">
        <f t="shared" ca="1" si="64"/>
        <v>0</v>
      </c>
      <c r="O107" s="14">
        <f t="shared" ca="1" si="64"/>
        <v>1</v>
      </c>
      <c r="P107" s="21">
        <f t="shared" ca="1" si="65"/>
        <v>2.2000000000000002</v>
      </c>
      <c r="Q107" s="20">
        <f t="shared" ca="1" si="66"/>
        <v>7</v>
      </c>
      <c r="R107" s="7">
        <f t="shared" si="67"/>
        <v>1.7999999999999998</v>
      </c>
    </row>
    <row r="108" spans="1:18">
      <c r="A108" s="8" t="s">
        <v>35</v>
      </c>
      <c r="B108" s="13" t="s">
        <v>36</v>
      </c>
      <c r="C108" s="14">
        <f t="shared" si="60"/>
        <v>161</v>
      </c>
      <c r="D108" s="14">
        <f t="shared" si="60"/>
        <v>142.6</v>
      </c>
      <c r="E108" s="14">
        <f t="shared" si="60"/>
        <v>134.19999999999999</v>
      </c>
      <c r="F108" s="37">
        <f t="shared" si="60"/>
        <v>24.6</v>
      </c>
      <c r="G108" s="16">
        <f t="shared" si="61"/>
        <v>0.94109396914445997</v>
      </c>
      <c r="H108" s="17">
        <f t="shared" si="62"/>
        <v>0.84508816120906805</v>
      </c>
      <c r="I108" s="14">
        <v>132</v>
      </c>
      <c r="J108" s="15">
        <v>78</v>
      </c>
      <c r="K108" s="15">
        <v>49</v>
      </c>
      <c r="L108" s="17">
        <f t="shared" si="63"/>
        <v>0.62820512820512819</v>
      </c>
      <c r="M108" s="14">
        <f t="shared" ca="1" si="64"/>
        <v>7.2</v>
      </c>
      <c r="N108" s="14">
        <f t="shared" ca="1" si="64"/>
        <v>0</v>
      </c>
      <c r="O108" s="14">
        <f t="shared" ca="1" si="64"/>
        <v>10.4</v>
      </c>
      <c r="P108" s="18">
        <f t="shared" ca="1" si="65"/>
        <v>116.59999999999998</v>
      </c>
      <c r="Q108" s="20">
        <f t="shared" ca="1" si="66"/>
        <v>31.400000000000002</v>
      </c>
      <c r="R108" s="7">
        <f t="shared" si="67"/>
        <v>8.4000000000000057</v>
      </c>
    </row>
    <row r="109" spans="1:18">
      <c r="A109" s="9" t="s">
        <v>37</v>
      </c>
      <c r="B109" s="25" t="s">
        <v>37</v>
      </c>
      <c r="C109" s="25">
        <f t="shared" ref="C109:F109" si="68">SUM(C98:C108)</f>
        <v>616</v>
      </c>
      <c r="D109" s="25">
        <f t="shared" si="68"/>
        <v>576.79999999999995</v>
      </c>
      <c r="E109" s="25">
        <f t="shared" si="68"/>
        <v>530.19999999999993</v>
      </c>
      <c r="F109" s="38">
        <f t="shared" si="68"/>
        <v>79.399999999999991</v>
      </c>
      <c r="G109" s="26">
        <f t="shared" ref="G109:H109" si="69">AVERAGE(G98:G108)</f>
        <v>0.85082487491662029</v>
      </c>
      <c r="H109" s="26">
        <f t="shared" si="69"/>
        <v>0.83677643828582537</v>
      </c>
      <c r="I109" s="25">
        <f t="shared" ref="I109:K109" si="70">SUM(I98:I108)</f>
        <v>953</v>
      </c>
      <c r="J109" s="25">
        <f t="shared" si="70"/>
        <v>473</v>
      </c>
      <c r="K109" s="25">
        <f t="shared" si="70"/>
        <v>358</v>
      </c>
      <c r="L109" s="26">
        <f t="shared" si="63"/>
        <v>0.7568710359408034</v>
      </c>
      <c r="M109" s="27">
        <f t="shared" ref="M109:Q109" ca="1" si="71">SUM(M98:M108)</f>
        <v>45.4</v>
      </c>
      <c r="N109" s="25">
        <f t="shared" ca="1" si="71"/>
        <v>23.2</v>
      </c>
      <c r="O109" s="25">
        <f t="shared" ca="1" si="71"/>
        <v>133.19999999999999</v>
      </c>
      <c r="P109" s="27">
        <f t="shared" ca="1" si="71"/>
        <v>328.39999999999992</v>
      </c>
      <c r="Q109" s="25">
        <f t="shared" ca="1" si="71"/>
        <v>156.19999999999999</v>
      </c>
      <c r="R109" s="7">
        <f t="shared" si="67"/>
        <v>46.600000000000023</v>
      </c>
    </row>
    <row r="110" spans="1:18">
      <c r="B110" s="68" t="s">
        <v>414</v>
      </c>
      <c r="G110" s="4">
        <f t="shared" ref="G110:H110" si="72">STDEV(G29,G45,G61,G77,G93)</f>
        <v>2.4888420288383416E-2</v>
      </c>
      <c r="H110" s="4">
        <f t="shared" si="72"/>
        <v>1.3865824017471665E-2</v>
      </c>
      <c r="L110" s="4"/>
    </row>
    <row r="111" spans="1:18">
      <c r="G111" s="4"/>
      <c r="H111" s="4"/>
      <c r="L111" s="4"/>
    </row>
    <row r="112" spans="1:18" ht="15" customHeight="1">
      <c r="C112" s="69"/>
      <c r="D112" s="69"/>
      <c r="E112" s="69"/>
      <c r="F112" s="69"/>
      <c r="G112" s="69"/>
      <c r="H112" s="69"/>
      <c r="J112" s="69"/>
      <c r="K112" s="69"/>
      <c r="L112" s="69"/>
      <c r="M112" s="69"/>
    </row>
    <row r="113" spans="7:13">
      <c r="G113" s="3"/>
      <c r="H113" s="4"/>
      <c r="I113" s="4"/>
      <c r="M113" s="4"/>
    </row>
    <row r="114" spans="7:13">
      <c r="H114" s="6"/>
      <c r="I114" s="6"/>
      <c r="M114" s="6"/>
    </row>
    <row r="115" spans="7:13">
      <c r="H115" s="6"/>
      <c r="I115" s="6"/>
      <c r="M115" s="6"/>
    </row>
    <row r="116" spans="7:13">
      <c r="H116" s="6"/>
      <c r="I116" s="6"/>
      <c r="M116" s="6"/>
    </row>
    <row r="117" spans="7:13">
      <c r="H117" s="6"/>
      <c r="I117" s="6"/>
      <c r="M117" s="6"/>
    </row>
    <row r="118" spans="7:13">
      <c r="H118" s="6"/>
      <c r="I118" s="6"/>
      <c r="M118" s="6"/>
    </row>
    <row r="119" spans="7:13">
      <c r="H119" s="6"/>
      <c r="I119" s="6"/>
      <c r="M119" s="6"/>
    </row>
    <row r="120" spans="7:13">
      <c r="H120" s="6"/>
      <c r="I120" s="6"/>
      <c r="M120" s="6"/>
    </row>
    <row r="121" spans="7:13">
      <c r="H121" s="6"/>
      <c r="I121" s="6"/>
      <c r="M121" s="6"/>
    </row>
    <row r="122" spans="7:13">
      <c r="H122" s="6"/>
      <c r="I122" s="6"/>
      <c r="M122" s="6"/>
    </row>
    <row r="123" spans="7:13">
      <c r="G123" s="39"/>
      <c r="H123" s="6"/>
      <c r="I123" s="6"/>
      <c r="M123" s="6"/>
    </row>
    <row r="124" spans="7:13">
      <c r="H124" s="6"/>
      <c r="I124" s="6"/>
      <c r="M124" s="6"/>
    </row>
    <row r="125" spans="7:13">
      <c r="H125" s="6"/>
      <c r="I125" s="6"/>
      <c r="M125" s="6"/>
    </row>
    <row r="126" spans="7:13">
      <c r="G126" s="4"/>
      <c r="H126" s="4"/>
      <c r="L126" s="4"/>
    </row>
    <row r="127" spans="7:13">
      <c r="G127" s="4"/>
      <c r="H127" s="4"/>
      <c r="L127" s="4"/>
    </row>
    <row r="128" spans="7:13">
      <c r="G128" s="4"/>
      <c r="H128" s="4"/>
      <c r="L128" s="4"/>
    </row>
    <row r="129" spans="7:12">
      <c r="G129" s="4"/>
      <c r="H129" s="4"/>
      <c r="L129" s="4"/>
    </row>
    <row r="130" spans="7:12">
      <c r="G130" s="4"/>
      <c r="H130" s="4"/>
      <c r="L130" s="4"/>
    </row>
    <row r="131" spans="7:12">
      <c r="G131" s="4"/>
      <c r="H131" s="4"/>
      <c r="L131" s="4"/>
    </row>
    <row r="132" spans="7:12">
      <c r="G132" s="4"/>
      <c r="H132" s="4"/>
      <c r="L132" s="4"/>
    </row>
    <row r="133" spans="7:12">
      <c r="G133" s="4"/>
      <c r="H133" s="4"/>
      <c r="L133" s="4"/>
    </row>
    <row r="134" spans="7:12">
      <c r="G134" s="4"/>
      <c r="H134" s="4"/>
      <c r="L134" s="4"/>
    </row>
    <row r="135" spans="7:12">
      <c r="G135" s="4"/>
      <c r="H135" s="4"/>
      <c r="L135" s="4"/>
    </row>
    <row r="136" spans="7:12">
      <c r="G136" s="4"/>
      <c r="H136" s="4"/>
      <c r="L136" s="4"/>
    </row>
    <row r="137" spans="7:12">
      <c r="G137" s="4"/>
      <c r="H137" s="4"/>
      <c r="L137" s="4"/>
    </row>
    <row r="138" spans="7:12">
      <c r="G138" s="4"/>
      <c r="H138" s="4"/>
      <c r="L138" s="4"/>
    </row>
    <row r="139" spans="7:12">
      <c r="G139" s="4"/>
      <c r="H139" s="4"/>
      <c r="L139" s="4"/>
    </row>
    <row r="140" spans="7:12">
      <c r="G140" s="4"/>
      <c r="H140" s="4"/>
      <c r="L140" s="4"/>
    </row>
    <row r="141" spans="7:12">
      <c r="G141" s="4"/>
      <c r="H141" s="4"/>
      <c r="L141" s="4"/>
    </row>
    <row r="142" spans="7:12">
      <c r="G142" s="4"/>
      <c r="H142" s="4"/>
      <c r="L142" s="4"/>
    </row>
    <row r="143" spans="7:12">
      <c r="G143" s="4"/>
      <c r="H143" s="4"/>
      <c r="L143" s="4"/>
    </row>
    <row r="144" spans="7:12">
      <c r="G144" s="4"/>
      <c r="H144" s="4"/>
      <c r="L144" s="4"/>
    </row>
    <row r="145" spans="7:12">
      <c r="G145" s="4"/>
      <c r="H145" s="4"/>
      <c r="L145" s="4"/>
    </row>
    <row r="146" spans="7:12">
      <c r="G146" s="4"/>
      <c r="H146" s="4"/>
      <c r="L146" s="4"/>
    </row>
    <row r="147" spans="7:12">
      <c r="G147" s="4"/>
      <c r="H147" s="4"/>
      <c r="L147" s="4"/>
    </row>
    <row r="148" spans="7:12">
      <c r="G148" s="4"/>
      <c r="H148" s="4"/>
      <c r="L148" s="4"/>
    </row>
    <row r="149" spans="7:12">
      <c r="G149" s="4"/>
      <c r="H149" s="4"/>
      <c r="L149" s="4"/>
    </row>
    <row r="150" spans="7:12">
      <c r="G150" s="4"/>
      <c r="H150" s="4"/>
      <c r="L150" s="4"/>
    </row>
    <row r="151" spans="7:12">
      <c r="G151" s="4"/>
      <c r="H151" s="4"/>
      <c r="L151" s="4"/>
    </row>
    <row r="152" spans="7:12">
      <c r="G152" s="4"/>
      <c r="H152" s="4"/>
      <c r="L152" s="4"/>
    </row>
    <row r="153" spans="7:12">
      <c r="G153" s="4"/>
      <c r="H153" s="4"/>
      <c r="L153" s="4"/>
    </row>
    <row r="154" spans="7:12">
      <c r="G154" s="4"/>
      <c r="H154" s="4"/>
      <c r="L154" s="4"/>
    </row>
    <row r="155" spans="7:12">
      <c r="G155" s="4"/>
      <c r="H155" s="4"/>
      <c r="L155" s="4"/>
    </row>
    <row r="156" spans="7:12">
      <c r="G156" s="4"/>
      <c r="H156" s="4"/>
      <c r="L156" s="4"/>
    </row>
    <row r="157" spans="7:12">
      <c r="G157" s="4"/>
      <c r="H157" s="4"/>
      <c r="L157" s="4"/>
    </row>
    <row r="158" spans="7:12">
      <c r="G158" s="4"/>
      <c r="H158" s="4"/>
      <c r="L158" s="4"/>
    </row>
    <row r="159" spans="7:12">
      <c r="G159" s="4"/>
      <c r="H159" s="4"/>
      <c r="L159" s="4"/>
    </row>
    <row r="160" spans="7:12">
      <c r="G160" s="4"/>
      <c r="H160" s="4"/>
      <c r="L160" s="4"/>
    </row>
    <row r="161" spans="7:12">
      <c r="G161" s="4"/>
      <c r="H161" s="4"/>
      <c r="L161" s="4"/>
    </row>
    <row r="162" spans="7:12">
      <c r="G162" s="4"/>
      <c r="H162" s="4"/>
      <c r="L162" s="4"/>
    </row>
    <row r="163" spans="7:12">
      <c r="G163" s="4"/>
      <c r="H163" s="4"/>
      <c r="L163" s="4"/>
    </row>
    <row r="164" spans="7:12">
      <c r="G164" s="4"/>
      <c r="H164" s="4"/>
      <c r="L164" s="4"/>
    </row>
    <row r="165" spans="7:12">
      <c r="G165" s="4"/>
      <c r="H165" s="4"/>
      <c r="L165" s="4"/>
    </row>
    <row r="166" spans="7:12">
      <c r="G166" s="4"/>
      <c r="H166" s="4"/>
      <c r="L166" s="4"/>
    </row>
    <row r="167" spans="7:12">
      <c r="G167" s="4"/>
      <c r="H167" s="4"/>
      <c r="L167" s="4"/>
    </row>
    <row r="168" spans="7:12">
      <c r="G168" s="4"/>
      <c r="H168" s="4"/>
      <c r="L168" s="4"/>
    </row>
    <row r="169" spans="7:12">
      <c r="G169" s="4"/>
      <c r="H169" s="4"/>
      <c r="L169" s="4"/>
    </row>
    <row r="170" spans="7:12">
      <c r="G170" s="4"/>
      <c r="H170" s="4"/>
      <c r="L170" s="4"/>
    </row>
    <row r="171" spans="7:12">
      <c r="G171" s="4"/>
      <c r="H171" s="4"/>
      <c r="L171" s="4"/>
    </row>
    <row r="172" spans="7:12">
      <c r="G172" s="4"/>
      <c r="H172" s="4"/>
      <c r="L172" s="4"/>
    </row>
    <row r="173" spans="7:12">
      <c r="G173" s="4"/>
      <c r="H173" s="4"/>
      <c r="L173" s="4"/>
    </row>
    <row r="174" spans="7:12">
      <c r="G174" s="4"/>
      <c r="H174" s="4"/>
      <c r="L174" s="4"/>
    </row>
    <row r="175" spans="7:12">
      <c r="G175" s="4"/>
      <c r="H175" s="4"/>
      <c r="L175" s="4"/>
    </row>
    <row r="176" spans="7:12">
      <c r="G176" s="4"/>
      <c r="H176" s="4"/>
      <c r="L176" s="4"/>
    </row>
    <row r="177" spans="7:12">
      <c r="G177" s="4"/>
      <c r="H177" s="4"/>
      <c r="L177" s="4"/>
    </row>
    <row r="178" spans="7:12">
      <c r="G178" s="4"/>
      <c r="H178" s="4"/>
      <c r="L178" s="4"/>
    </row>
    <row r="179" spans="7:12">
      <c r="G179" s="4"/>
      <c r="H179" s="4"/>
      <c r="L179" s="4"/>
    </row>
    <row r="180" spans="7:12">
      <c r="G180" s="4"/>
      <c r="H180" s="4"/>
      <c r="L180" s="4"/>
    </row>
    <row r="181" spans="7:12">
      <c r="G181" s="4"/>
      <c r="H181" s="4"/>
      <c r="L181" s="4"/>
    </row>
    <row r="182" spans="7:12">
      <c r="G182" s="4"/>
      <c r="H182" s="4"/>
      <c r="L182" s="4"/>
    </row>
    <row r="183" spans="7:12">
      <c r="G183" s="4"/>
      <c r="H183" s="4"/>
      <c r="L183" s="4"/>
    </row>
    <row r="184" spans="7:12">
      <c r="G184" s="4"/>
      <c r="H184" s="4"/>
      <c r="L184" s="4"/>
    </row>
    <row r="185" spans="7:12">
      <c r="G185" s="4"/>
      <c r="H185" s="4"/>
      <c r="L185" s="4"/>
    </row>
    <row r="186" spans="7:12">
      <c r="G186" s="4"/>
      <c r="H186" s="4"/>
      <c r="L186" s="4"/>
    </row>
    <row r="187" spans="7:12">
      <c r="G187" s="4"/>
      <c r="H187" s="4"/>
      <c r="L187" s="4"/>
    </row>
    <row r="188" spans="7:12">
      <c r="G188" s="4"/>
      <c r="H188" s="4"/>
      <c r="L188" s="4"/>
    </row>
    <row r="189" spans="7:12">
      <c r="G189" s="4"/>
      <c r="H189" s="4"/>
      <c r="L189" s="4"/>
    </row>
    <row r="190" spans="7:12">
      <c r="G190" s="4"/>
      <c r="H190" s="4"/>
      <c r="L190" s="4"/>
    </row>
    <row r="191" spans="7:12">
      <c r="G191" s="4"/>
      <c r="H191" s="4"/>
      <c r="L191" s="4"/>
    </row>
    <row r="192" spans="7:12">
      <c r="G192" s="4"/>
      <c r="H192" s="4"/>
      <c r="L192" s="4"/>
    </row>
    <row r="193" spans="7:12">
      <c r="G193" s="4"/>
      <c r="H193" s="4"/>
      <c r="L193" s="4"/>
    </row>
    <row r="194" spans="7:12">
      <c r="G194" s="4"/>
      <c r="H194" s="4"/>
      <c r="L194" s="4"/>
    </row>
    <row r="195" spans="7:12">
      <c r="G195" s="4"/>
      <c r="H195" s="4"/>
      <c r="L195" s="4"/>
    </row>
    <row r="196" spans="7:12">
      <c r="G196" s="4"/>
      <c r="H196" s="4"/>
      <c r="L196" s="4"/>
    </row>
    <row r="197" spans="7:12">
      <c r="G197" s="4"/>
      <c r="H197" s="4"/>
      <c r="L197" s="4"/>
    </row>
    <row r="198" spans="7:12">
      <c r="G198" s="4"/>
      <c r="H198" s="4"/>
      <c r="L198" s="4"/>
    </row>
    <row r="199" spans="7:12">
      <c r="G199" s="4"/>
      <c r="H199" s="4"/>
      <c r="L199" s="4"/>
    </row>
    <row r="200" spans="7:12">
      <c r="G200" s="4"/>
      <c r="H200" s="4"/>
      <c r="L200" s="4"/>
    </row>
    <row r="201" spans="7:12">
      <c r="G201" s="4"/>
      <c r="H201" s="4"/>
      <c r="L201" s="4"/>
    </row>
    <row r="202" spans="7:12">
      <c r="G202" s="4"/>
      <c r="H202" s="4"/>
      <c r="L202" s="4"/>
    </row>
    <row r="203" spans="7:12">
      <c r="G203" s="4"/>
      <c r="H203" s="4"/>
      <c r="L203" s="4"/>
    </row>
    <row r="204" spans="7:12">
      <c r="G204" s="4"/>
      <c r="H204" s="4"/>
      <c r="L204" s="4"/>
    </row>
    <row r="205" spans="7:12">
      <c r="G205" s="4"/>
      <c r="H205" s="4"/>
      <c r="L205" s="4"/>
    </row>
    <row r="206" spans="7:12">
      <c r="G206" s="4"/>
      <c r="H206" s="4"/>
      <c r="L206" s="4"/>
    </row>
    <row r="207" spans="7:12">
      <c r="G207" s="4"/>
      <c r="H207" s="4"/>
      <c r="L207" s="4"/>
    </row>
    <row r="208" spans="7:12">
      <c r="G208" s="4"/>
      <c r="H208" s="4"/>
      <c r="L208" s="4"/>
    </row>
    <row r="209" spans="7:12">
      <c r="G209" s="4"/>
      <c r="H209" s="4"/>
      <c r="L209" s="4"/>
    </row>
    <row r="210" spans="7:12">
      <c r="G210" s="4"/>
      <c r="H210" s="4"/>
      <c r="L210" s="4"/>
    </row>
    <row r="211" spans="7:12">
      <c r="G211" s="4"/>
      <c r="H211" s="4"/>
      <c r="L211" s="4"/>
    </row>
    <row r="212" spans="7:12">
      <c r="G212" s="4"/>
      <c r="H212" s="4"/>
      <c r="L212" s="4"/>
    </row>
    <row r="213" spans="7:12">
      <c r="G213" s="4"/>
      <c r="H213" s="4"/>
      <c r="L213" s="4"/>
    </row>
    <row r="214" spans="7:12">
      <c r="G214" s="4"/>
      <c r="H214" s="4"/>
      <c r="L214" s="4"/>
    </row>
    <row r="215" spans="7:12">
      <c r="G215" s="4"/>
      <c r="H215" s="4"/>
      <c r="L215" s="4"/>
    </row>
    <row r="216" spans="7:12">
      <c r="G216" s="4"/>
      <c r="H216" s="4"/>
      <c r="L216" s="4"/>
    </row>
    <row r="217" spans="7:12">
      <c r="G217" s="4"/>
      <c r="H217" s="4"/>
      <c r="L217" s="4"/>
    </row>
    <row r="218" spans="7:12">
      <c r="G218" s="4"/>
      <c r="H218" s="4"/>
      <c r="L218" s="4"/>
    </row>
    <row r="219" spans="7:12">
      <c r="G219" s="4"/>
      <c r="H219" s="4"/>
      <c r="L219" s="4"/>
    </row>
    <row r="220" spans="7:12">
      <c r="G220" s="4"/>
      <c r="H220" s="4"/>
      <c r="L220" s="4"/>
    </row>
    <row r="221" spans="7:12">
      <c r="G221" s="4"/>
      <c r="H221" s="4"/>
      <c r="L221" s="4"/>
    </row>
    <row r="222" spans="7:12">
      <c r="G222" s="4"/>
      <c r="H222" s="4"/>
      <c r="L222" s="4"/>
    </row>
    <row r="223" spans="7:12">
      <c r="G223" s="4"/>
      <c r="H223" s="4"/>
      <c r="L223" s="4"/>
    </row>
    <row r="224" spans="7:12">
      <c r="G224" s="4"/>
      <c r="H224" s="4"/>
      <c r="L224" s="4"/>
    </row>
    <row r="225" spans="7:12">
      <c r="G225" s="4"/>
      <c r="H225" s="4"/>
      <c r="L225" s="4"/>
    </row>
    <row r="226" spans="7:12">
      <c r="G226" s="4"/>
      <c r="H226" s="4"/>
      <c r="L226" s="4"/>
    </row>
    <row r="227" spans="7:12">
      <c r="G227" s="4"/>
      <c r="H227" s="4"/>
      <c r="L227" s="4"/>
    </row>
    <row r="228" spans="7:12">
      <c r="G228" s="4"/>
      <c r="H228" s="4"/>
      <c r="L228" s="4"/>
    </row>
    <row r="229" spans="7:12">
      <c r="G229" s="4"/>
      <c r="H229" s="4"/>
      <c r="L229" s="4"/>
    </row>
    <row r="230" spans="7:12">
      <c r="G230" s="4"/>
      <c r="H230" s="4"/>
      <c r="L230" s="4"/>
    </row>
    <row r="231" spans="7:12">
      <c r="G231" s="4"/>
      <c r="H231" s="4"/>
      <c r="L231" s="4"/>
    </row>
    <row r="232" spans="7:12">
      <c r="G232" s="4"/>
      <c r="H232" s="4"/>
      <c r="L232" s="4"/>
    </row>
    <row r="233" spans="7:12">
      <c r="G233" s="4"/>
      <c r="H233" s="4"/>
      <c r="L233" s="4"/>
    </row>
    <row r="234" spans="7:12">
      <c r="G234" s="4"/>
      <c r="H234" s="4"/>
      <c r="L234" s="4"/>
    </row>
    <row r="235" spans="7:12">
      <c r="G235" s="4"/>
      <c r="H235" s="4"/>
      <c r="L235" s="4"/>
    </row>
    <row r="236" spans="7:12">
      <c r="G236" s="4"/>
      <c r="H236" s="4"/>
      <c r="L236" s="4"/>
    </row>
    <row r="237" spans="7:12">
      <c r="G237" s="4"/>
      <c r="H237" s="4"/>
      <c r="L237" s="4"/>
    </row>
    <row r="238" spans="7:12">
      <c r="G238" s="4"/>
      <c r="H238" s="4"/>
      <c r="L238" s="4"/>
    </row>
    <row r="239" spans="7:12">
      <c r="G239" s="4"/>
      <c r="H239" s="4"/>
      <c r="L239" s="4"/>
    </row>
    <row r="240" spans="7:12">
      <c r="G240" s="4"/>
      <c r="H240" s="4"/>
      <c r="L240" s="4"/>
    </row>
    <row r="241" spans="7:12">
      <c r="G241" s="4"/>
      <c r="H241" s="4"/>
      <c r="L241" s="4"/>
    </row>
    <row r="242" spans="7:12">
      <c r="G242" s="4"/>
      <c r="H242" s="4"/>
      <c r="L242" s="4"/>
    </row>
    <row r="243" spans="7:12">
      <c r="G243" s="4"/>
      <c r="H243" s="4"/>
      <c r="L243" s="4"/>
    </row>
    <row r="244" spans="7:12">
      <c r="G244" s="4"/>
      <c r="H244" s="4"/>
      <c r="L244" s="4"/>
    </row>
    <row r="245" spans="7:12">
      <c r="G245" s="4"/>
      <c r="H245" s="4"/>
      <c r="L245" s="4"/>
    </row>
    <row r="246" spans="7:12">
      <c r="G246" s="4"/>
      <c r="H246" s="4"/>
      <c r="L246" s="4"/>
    </row>
    <row r="247" spans="7:12">
      <c r="G247" s="4"/>
      <c r="H247" s="4"/>
      <c r="L247" s="4"/>
    </row>
    <row r="248" spans="7:12">
      <c r="G248" s="4"/>
      <c r="H248" s="4"/>
      <c r="L248" s="4"/>
    </row>
    <row r="249" spans="7:12">
      <c r="G249" s="4"/>
      <c r="H249" s="4"/>
      <c r="L249" s="4"/>
    </row>
    <row r="250" spans="7:12">
      <c r="G250" s="4"/>
      <c r="H250" s="4"/>
      <c r="L250" s="4"/>
    </row>
    <row r="251" spans="7:12">
      <c r="G251" s="4"/>
      <c r="H251" s="4"/>
      <c r="L251" s="4"/>
    </row>
    <row r="252" spans="7:12">
      <c r="G252" s="4"/>
      <c r="H252" s="4"/>
      <c r="L252" s="4"/>
    </row>
    <row r="253" spans="7:12">
      <c r="G253" s="4"/>
      <c r="H253" s="4"/>
      <c r="L253" s="4"/>
    </row>
    <row r="254" spans="7:12">
      <c r="G254" s="4"/>
      <c r="H254" s="4"/>
      <c r="L254" s="4"/>
    </row>
    <row r="255" spans="7:12">
      <c r="G255" s="4"/>
      <c r="H255" s="4"/>
      <c r="L255" s="4"/>
    </row>
    <row r="256" spans="7:12">
      <c r="G256" s="4"/>
      <c r="H256" s="4"/>
      <c r="L256" s="4"/>
    </row>
    <row r="257" spans="7:12">
      <c r="G257" s="4"/>
      <c r="H257" s="4"/>
      <c r="L257" s="4"/>
    </row>
    <row r="258" spans="7:12">
      <c r="G258" s="4"/>
      <c r="H258" s="4"/>
      <c r="L258" s="4"/>
    </row>
    <row r="259" spans="7:12">
      <c r="G259" s="4"/>
      <c r="H259" s="4"/>
      <c r="L259" s="4"/>
    </row>
    <row r="260" spans="7:12">
      <c r="G260" s="4"/>
      <c r="H260" s="4"/>
      <c r="L260" s="4"/>
    </row>
    <row r="261" spans="7:12">
      <c r="G261" s="4"/>
      <c r="H261" s="4"/>
      <c r="L261" s="4"/>
    </row>
    <row r="262" spans="7:12">
      <c r="G262" s="4"/>
      <c r="H262" s="4"/>
      <c r="L262" s="4"/>
    </row>
    <row r="263" spans="7:12">
      <c r="G263" s="4"/>
      <c r="H263" s="4"/>
      <c r="L263" s="4"/>
    </row>
    <row r="264" spans="7:12">
      <c r="G264" s="4"/>
      <c r="H264" s="4"/>
      <c r="L264" s="4"/>
    </row>
    <row r="265" spans="7:12">
      <c r="G265" s="4"/>
      <c r="H265" s="4"/>
      <c r="L265" s="4"/>
    </row>
    <row r="266" spans="7:12">
      <c r="G266" s="4"/>
      <c r="H266" s="4"/>
      <c r="L266" s="4"/>
    </row>
    <row r="267" spans="7:12">
      <c r="G267" s="4"/>
      <c r="H267" s="4"/>
      <c r="L267" s="4"/>
    </row>
    <row r="268" spans="7:12">
      <c r="G268" s="4"/>
      <c r="H268" s="4"/>
      <c r="L268" s="4"/>
    </row>
    <row r="269" spans="7:12">
      <c r="G269" s="4"/>
      <c r="H269" s="4"/>
      <c r="L269" s="4"/>
    </row>
    <row r="270" spans="7:12">
      <c r="G270" s="4"/>
      <c r="H270" s="4"/>
      <c r="L270" s="4"/>
    </row>
    <row r="271" spans="7:12">
      <c r="G271" s="4"/>
      <c r="H271" s="4"/>
      <c r="L271" s="4"/>
    </row>
    <row r="272" spans="7:12">
      <c r="G272" s="4"/>
      <c r="H272" s="4"/>
      <c r="L272" s="4"/>
    </row>
    <row r="273" spans="7:12">
      <c r="G273" s="4"/>
      <c r="H273" s="4"/>
      <c r="L273" s="4"/>
    </row>
    <row r="274" spans="7:12">
      <c r="G274" s="4"/>
      <c r="H274" s="4"/>
      <c r="L274" s="4"/>
    </row>
    <row r="275" spans="7:12">
      <c r="G275" s="4"/>
      <c r="H275" s="4"/>
      <c r="L275" s="4"/>
    </row>
    <row r="276" spans="7:12">
      <c r="G276" s="4"/>
      <c r="H276" s="4"/>
      <c r="L276" s="4"/>
    </row>
    <row r="277" spans="7:12">
      <c r="G277" s="4"/>
      <c r="H277" s="4"/>
      <c r="L277" s="4"/>
    </row>
    <row r="278" spans="7:12">
      <c r="G278" s="4"/>
      <c r="H278" s="4"/>
      <c r="L278" s="4"/>
    </row>
    <row r="279" spans="7:12">
      <c r="G279" s="4"/>
      <c r="H279" s="4"/>
      <c r="L279" s="4"/>
    </row>
    <row r="280" spans="7:12">
      <c r="G280" s="4"/>
      <c r="H280" s="4"/>
      <c r="L280" s="4"/>
    </row>
    <row r="281" spans="7:12">
      <c r="G281" s="4"/>
      <c r="H281" s="4"/>
      <c r="L281" s="4"/>
    </row>
    <row r="282" spans="7:12">
      <c r="G282" s="4"/>
      <c r="H282" s="4"/>
      <c r="L282" s="4"/>
    </row>
    <row r="283" spans="7:12">
      <c r="G283" s="4"/>
      <c r="H283" s="4"/>
      <c r="L283" s="4"/>
    </row>
    <row r="284" spans="7:12">
      <c r="G284" s="4"/>
      <c r="H284" s="4"/>
      <c r="L284" s="4"/>
    </row>
    <row r="285" spans="7:12">
      <c r="G285" s="4"/>
      <c r="H285" s="4"/>
      <c r="L285" s="4"/>
    </row>
    <row r="286" spans="7:12">
      <c r="G286" s="4"/>
      <c r="H286" s="4"/>
      <c r="L286" s="4"/>
    </row>
    <row r="287" spans="7:12">
      <c r="G287" s="4"/>
      <c r="H287" s="4"/>
      <c r="L287" s="4"/>
    </row>
    <row r="288" spans="7:12">
      <c r="G288" s="4"/>
      <c r="H288" s="4"/>
      <c r="L288" s="4"/>
    </row>
    <row r="289" spans="7:12">
      <c r="G289" s="4"/>
      <c r="H289" s="4"/>
      <c r="L289" s="4"/>
    </row>
    <row r="290" spans="7:12">
      <c r="G290" s="4"/>
      <c r="H290" s="4"/>
      <c r="L290" s="4"/>
    </row>
    <row r="291" spans="7:12">
      <c r="G291" s="4"/>
      <c r="H291" s="4"/>
      <c r="L291" s="4"/>
    </row>
    <row r="292" spans="7:12">
      <c r="G292" s="4"/>
      <c r="H292" s="4"/>
      <c r="L292" s="4"/>
    </row>
    <row r="293" spans="7:12">
      <c r="G293" s="4"/>
      <c r="H293" s="4"/>
      <c r="L293" s="4"/>
    </row>
    <row r="294" spans="7:12">
      <c r="G294" s="4"/>
      <c r="H294" s="4"/>
      <c r="L294" s="4"/>
    </row>
    <row r="295" spans="7:12">
      <c r="G295" s="4"/>
      <c r="H295" s="4"/>
      <c r="L295" s="4"/>
    </row>
    <row r="296" spans="7:12">
      <c r="G296" s="4"/>
      <c r="H296" s="4"/>
      <c r="L296" s="4"/>
    </row>
    <row r="297" spans="7:12">
      <c r="G297" s="4"/>
      <c r="H297" s="4"/>
      <c r="L297" s="4"/>
    </row>
    <row r="298" spans="7:12">
      <c r="G298" s="4"/>
      <c r="H298" s="4"/>
      <c r="L298" s="4"/>
    </row>
    <row r="299" spans="7:12">
      <c r="G299" s="4"/>
      <c r="H299" s="4"/>
      <c r="L299" s="4"/>
    </row>
    <row r="300" spans="7:12">
      <c r="G300" s="4"/>
      <c r="H300" s="4"/>
      <c r="L300" s="4"/>
    </row>
    <row r="301" spans="7:12">
      <c r="G301" s="4"/>
      <c r="H301" s="4"/>
      <c r="L301" s="4"/>
    </row>
    <row r="302" spans="7:12">
      <c r="G302" s="4"/>
      <c r="H302" s="4"/>
      <c r="L302" s="4"/>
    </row>
    <row r="303" spans="7:12">
      <c r="G303" s="4"/>
      <c r="H303" s="4"/>
      <c r="L303" s="4"/>
    </row>
    <row r="304" spans="7:12">
      <c r="G304" s="4"/>
      <c r="H304" s="4"/>
      <c r="L304" s="4"/>
    </row>
    <row r="305" spans="7:12">
      <c r="G305" s="4"/>
      <c r="H305" s="4"/>
      <c r="L305" s="4"/>
    </row>
    <row r="306" spans="7:12">
      <c r="G306" s="4"/>
      <c r="H306" s="4"/>
      <c r="L306" s="4"/>
    </row>
    <row r="307" spans="7:12">
      <c r="G307" s="4"/>
      <c r="H307" s="4"/>
      <c r="L307" s="4"/>
    </row>
    <row r="308" spans="7:12">
      <c r="G308" s="4"/>
      <c r="H308" s="4"/>
      <c r="L308" s="4"/>
    </row>
    <row r="309" spans="7:12">
      <c r="G309" s="4"/>
      <c r="H309" s="4"/>
      <c r="L309" s="4"/>
    </row>
    <row r="310" spans="7:12">
      <c r="G310" s="4"/>
      <c r="H310" s="4"/>
      <c r="L310" s="4"/>
    </row>
    <row r="311" spans="7:12">
      <c r="G311" s="4"/>
      <c r="H311" s="4"/>
      <c r="L311" s="4"/>
    </row>
    <row r="312" spans="7:12">
      <c r="G312" s="4"/>
      <c r="H312" s="4"/>
      <c r="L312" s="4"/>
    </row>
    <row r="313" spans="7:12">
      <c r="G313" s="4"/>
      <c r="H313" s="4"/>
      <c r="L313" s="4"/>
    </row>
    <row r="314" spans="7:12">
      <c r="G314" s="4"/>
      <c r="H314" s="4"/>
      <c r="L314" s="4"/>
    </row>
    <row r="315" spans="7:12">
      <c r="G315" s="4"/>
      <c r="H315" s="4"/>
      <c r="L315" s="4"/>
    </row>
    <row r="316" spans="7:12">
      <c r="G316" s="4"/>
      <c r="H316" s="4"/>
      <c r="L316" s="4"/>
    </row>
    <row r="317" spans="7:12">
      <c r="G317" s="4"/>
      <c r="H317" s="4"/>
      <c r="L317" s="4"/>
    </row>
    <row r="318" spans="7:12">
      <c r="G318" s="4"/>
      <c r="H318" s="4"/>
      <c r="L318" s="4"/>
    </row>
    <row r="319" spans="7:12">
      <c r="G319" s="4"/>
      <c r="H319" s="4"/>
      <c r="L319" s="4"/>
    </row>
    <row r="320" spans="7:12">
      <c r="G320" s="4"/>
      <c r="H320" s="4"/>
      <c r="L320" s="4"/>
    </row>
    <row r="321" spans="7:12">
      <c r="G321" s="4"/>
      <c r="H321" s="4"/>
      <c r="L321" s="4"/>
    </row>
    <row r="322" spans="7:12">
      <c r="G322" s="4"/>
      <c r="H322" s="4"/>
      <c r="L322" s="4"/>
    </row>
    <row r="323" spans="7:12">
      <c r="G323" s="4"/>
      <c r="H323" s="4"/>
      <c r="L323" s="4"/>
    </row>
    <row r="324" spans="7:12">
      <c r="G324" s="4"/>
      <c r="H324" s="4"/>
      <c r="L324" s="4"/>
    </row>
    <row r="325" spans="7:12">
      <c r="G325" s="4"/>
      <c r="H325" s="4"/>
      <c r="L325" s="4"/>
    </row>
    <row r="326" spans="7:12">
      <c r="G326" s="4"/>
      <c r="H326" s="4"/>
      <c r="L326" s="4"/>
    </row>
    <row r="327" spans="7:12">
      <c r="G327" s="4"/>
      <c r="H327" s="4"/>
      <c r="L327" s="4"/>
    </row>
    <row r="328" spans="7:12">
      <c r="G328" s="4"/>
      <c r="H328" s="4"/>
      <c r="L328" s="4"/>
    </row>
    <row r="329" spans="7:12">
      <c r="G329" s="4"/>
      <c r="H329" s="4"/>
      <c r="L329" s="4"/>
    </row>
    <row r="330" spans="7:12">
      <c r="G330" s="4"/>
      <c r="H330" s="4"/>
      <c r="L330" s="4"/>
    </row>
    <row r="331" spans="7:12">
      <c r="G331" s="4"/>
      <c r="H331" s="4"/>
      <c r="L331" s="4"/>
    </row>
    <row r="332" spans="7:12">
      <c r="G332" s="4"/>
      <c r="H332" s="4"/>
      <c r="L332" s="4"/>
    </row>
    <row r="333" spans="7:12">
      <c r="G333" s="4"/>
      <c r="H333" s="4"/>
      <c r="L333" s="4"/>
    </row>
    <row r="334" spans="7:12">
      <c r="G334" s="4"/>
      <c r="H334" s="4"/>
      <c r="L334" s="4"/>
    </row>
    <row r="335" spans="7:12">
      <c r="G335" s="4"/>
      <c r="H335" s="4"/>
      <c r="L335" s="4"/>
    </row>
    <row r="336" spans="7:12">
      <c r="G336" s="4"/>
      <c r="H336" s="4"/>
      <c r="L336" s="4"/>
    </row>
    <row r="337" spans="7:12">
      <c r="G337" s="4"/>
      <c r="H337" s="4"/>
      <c r="L337" s="4"/>
    </row>
    <row r="338" spans="7:12">
      <c r="G338" s="4"/>
      <c r="H338" s="4"/>
      <c r="L338" s="4"/>
    </row>
    <row r="339" spans="7:12">
      <c r="G339" s="4"/>
      <c r="H339" s="4"/>
      <c r="L339" s="4"/>
    </row>
    <row r="340" spans="7:12">
      <c r="G340" s="4"/>
      <c r="H340" s="4"/>
      <c r="L340" s="4"/>
    </row>
    <row r="341" spans="7:12">
      <c r="G341" s="4"/>
      <c r="H341" s="4"/>
      <c r="L341" s="4"/>
    </row>
    <row r="342" spans="7:12">
      <c r="G342" s="4"/>
      <c r="H342" s="4"/>
      <c r="L342" s="4"/>
    </row>
    <row r="343" spans="7:12">
      <c r="G343" s="4"/>
      <c r="H343" s="4"/>
      <c r="L343" s="4"/>
    </row>
    <row r="344" spans="7:12">
      <c r="G344" s="4"/>
      <c r="H344" s="4"/>
      <c r="L344" s="4"/>
    </row>
    <row r="345" spans="7:12">
      <c r="G345" s="4"/>
      <c r="H345" s="4"/>
      <c r="L345" s="4"/>
    </row>
    <row r="346" spans="7:12">
      <c r="G346" s="4"/>
      <c r="H346" s="4"/>
      <c r="L346" s="4"/>
    </row>
    <row r="347" spans="7:12">
      <c r="G347" s="4"/>
      <c r="H347" s="4"/>
      <c r="L347" s="4"/>
    </row>
    <row r="348" spans="7:12">
      <c r="G348" s="4"/>
      <c r="H348" s="4"/>
      <c r="L348" s="4"/>
    </row>
    <row r="349" spans="7:12">
      <c r="G349" s="4"/>
      <c r="H349" s="4"/>
      <c r="L349" s="4"/>
    </row>
    <row r="350" spans="7:12">
      <c r="G350" s="4"/>
      <c r="H350" s="4"/>
      <c r="L350" s="4"/>
    </row>
    <row r="351" spans="7:12">
      <c r="G351" s="4"/>
      <c r="H351" s="4"/>
      <c r="L351" s="4"/>
    </row>
    <row r="352" spans="7:12">
      <c r="G352" s="4"/>
      <c r="H352" s="4"/>
      <c r="L352" s="4"/>
    </row>
    <row r="353" spans="7:12">
      <c r="G353" s="4"/>
      <c r="H353" s="4"/>
      <c r="L353" s="4"/>
    </row>
    <row r="354" spans="7:12">
      <c r="G354" s="4"/>
      <c r="H354" s="4"/>
      <c r="L354" s="4"/>
    </row>
    <row r="355" spans="7:12">
      <c r="G355" s="4"/>
      <c r="H355" s="4"/>
      <c r="L355" s="4"/>
    </row>
    <row r="356" spans="7:12">
      <c r="G356" s="4"/>
      <c r="H356" s="4"/>
      <c r="L356" s="4"/>
    </row>
    <row r="357" spans="7:12">
      <c r="G357" s="4"/>
      <c r="H357" s="4"/>
      <c r="L357" s="4"/>
    </row>
    <row r="358" spans="7:12">
      <c r="G358" s="4"/>
      <c r="H358" s="4"/>
      <c r="L358" s="4"/>
    </row>
    <row r="359" spans="7:12">
      <c r="G359" s="4"/>
      <c r="H359" s="4"/>
      <c r="L359" s="4"/>
    </row>
    <row r="360" spans="7:12">
      <c r="G360" s="4"/>
      <c r="H360" s="4"/>
      <c r="L360" s="4"/>
    </row>
    <row r="361" spans="7:12">
      <c r="G361" s="4"/>
      <c r="H361" s="4"/>
      <c r="L361" s="4"/>
    </row>
    <row r="362" spans="7:12">
      <c r="G362" s="4"/>
      <c r="H362" s="4"/>
      <c r="L362" s="4"/>
    </row>
    <row r="363" spans="7:12">
      <c r="G363" s="4"/>
      <c r="H363" s="4"/>
      <c r="L363" s="4"/>
    </row>
    <row r="364" spans="7:12">
      <c r="G364" s="4"/>
      <c r="H364" s="4"/>
      <c r="L364" s="4"/>
    </row>
    <row r="365" spans="7:12">
      <c r="G365" s="4"/>
      <c r="H365" s="4"/>
      <c r="L365" s="4"/>
    </row>
    <row r="366" spans="7:12">
      <c r="G366" s="4"/>
      <c r="H366" s="4"/>
      <c r="L366" s="4"/>
    </row>
    <row r="367" spans="7:12">
      <c r="G367" s="4"/>
      <c r="H367" s="4"/>
      <c r="L367" s="4"/>
    </row>
    <row r="368" spans="7:12">
      <c r="G368" s="4"/>
      <c r="H368" s="4"/>
      <c r="L368" s="4"/>
    </row>
    <row r="369" spans="7:12">
      <c r="G369" s="4"/>
      <c r="H369" s="4"/>
      <c r="L369" s="4"/>
    </row>
    <row r="370" spans="7:12">
      <c r="G370" s="4"/>
      <c r="H370" s="4"/>
      <c r="L370" s="4"/>
    </row>
    <row r="371" spans="7:12">
      <c r="G371" s="4"/>
      <c r="H371" s="4"/>
      <c r="L371" s="4"/>
    </row>
    <row r="372" spans="7:12">
      <c r="G372" s="4"/>
      <c r="H372" s="4"/>
      <c r="L372" s="4"/>
    </row>
    <row r="373" spans="7:12">
      <c r="G373" s="4"/>
      <c r="H373" s="4"/>
      <c r="L373" s="4"/>
    </row>
    <row r="374" spans="7:12">
      <c r="G374" s="4"/>
      <c r="H374" s="4"/>
      <c r="L374" s="4"/>
    </row>
    <row r="375" spans="7:12">
      <c r="G375" s="4"/>
      <c r="H375" s="4"/>
      <c r="L375" s="4"/>
    </row>
    <row r="376" spans="7:12">
      <c r="G376" s="4"/>
      <c r="H376" s="4"/>
      <c r="L376" s="4"/>
    </row>
    <row r="377" spans="7:12">
      <c r="G377" s="4"/>
      <c r="H377" s="4"/>
      <c r="L377" s="4"/>
    </row>
    <row r="378" spans="7:12">
      <c r="G378" s="4"/>
      <c r="H378" s="4"/>
      <c r="L378" s="4"/>
    </row>
    <row r="379" spans="7:12">
      <c r="G379" s="4"/>
      <c r="H379" s="4"/>
      <c r="L379" s="4"/>
    </row>
    <row r="380" spans="7:12">
      <c r="G380" s="4"/>
      <c r="H380" s="4"/>
      <c r="L380" s="4"/>
    </row>
    <row r="381" spans="7:12">
      <c r="G381" s="4"/>
      <c r="H381" s="4"/>
      <c r="L381" s="4"/>
    </row>
    <row r="382" spans="7:12">
      <c r="G382" s="4"/>
      <c r="H382" s="4"/>
      <c r="L382" s="4"/>
    </row>
    <row r="383" spans="7:12">
      <c r="G383" s="4"/>
      <c r="H383" s="4"/>
      <c r="L383" s="4"/>
    </row>
    <row r="384" spans="7:12">
      <c r="G384" s="4"/>
      <c r="H384" s="4"/>
      <c r="L384" s="4"/>
    </row>
    <row r="385" spans="7:12">
      <c r="G385" s="4"/>
      <c r="H385" s="4"/>
      <c r="L385" s="4"/>
    </row>
    <row r="386" spans="7:12">
      <c r="G386" s="4"/>
      <c r="H386" s="4"/>
      <c r="L386" s="4"/>
    </row>
    <row r="387" spans="7:12">
      <c r="G387" s="4"/>
      <c r="H387" s="4"/>
      <c r="L387" s="4"/>
    </row>
    <row r="388" spans="7:12">
      <c r="G388" s="4"/>
      <c r="H388" s="4"/>
      <c r="L388" s="4"/>
    </row>
    <row r="389" spans="7:12">
      <c r="G389" s="4"/>
      <c r="H389" s="4"/>
      <c r="L389" s="4"/>
    </row>
    <row r="390" spans="7:12">
      <c r="G390" s="4"/>
      <c r="H390" s="4"/>
      <c r="L390" s="4"/>
    </row>
    <row r="391" spans="7:12">
      <c r="G391" s="4"/>
      <c r="H391" s="4"/>
      <c r="L391" s="4"/>
    </row>
    <row r="392" spans="7:12">
      <c r="G392" s="4"/>
      <c r="H392" s="4"/>
      <c r="L392" s="4"/>
    </row>
    <row r="393" spans="7:12">
      <c r="G393" s="4"/>
      <c r="H393" s="4"/>
      <c r="L393" s="4"/>
    </row>
    <row r="394" spans="7:12">
      <c r="G394" s="4"/>
      <c r="H394" s="4"/>
      <c r="L394" s="4"/>
    </row>
    <row r="395" spans="7:12">
      <c r="G395" s="4"/>
      <c r="H395" s="4"/>
      <c r="L395" s="4"/>
    </row>
    <row r="396" spans="7:12">
      <c r="G396" s="4"/>
      <c r="H396" s="4"/>
      <c r="L396" s="4"/>
    </row>
    <row r="397" spans="7:12">
      <c r="G397" s="4"/>
      <c r="H397" s="4"/>
      <c r="L397" s="4"/>
    </row>
    <row r="398" spans="7:12">
      <c r="G398" s="4"/>
      <c r="H398" s="4"/>
      <c r="L398" s="4"/>
    </row>
    <row r="399" spans="7:12">
      <c r="G399" s="4"/>
      <c r="H399" s="4"/>
      <c r="L399" s="4"/>
    </row>
    <row r="400" spans="7:12">
      <c r="G400" s="4"/>
      <c r="H400" s="4"/>
      <c r="L400" s="4"/>
    </row>
    <row r="401" spans="7:12">
      <c r="G401" s="4"/>
      <c r="H401" s="4"/>
      <c r="L401" s="4"/>
    </row>
    <row r="402" spans="7:12">
      <c r="G402" s="4"/>
      <c r="H402" s="4"/>
      <c r="L402" s="4"/>
    </row>
    <row r="403" spans="7:12">
      <c r="G403" s="4"/>
      <c r="H403" s="4"/>
      <c r="L403" s="4"/>
    </row>
    <row r="404" spans="7:12">
      <c r="G404" s="4"/>
      <c r="H404" s="4"/>
      <c r="L404" s="4"/>
    </row>
    <row r="405" spans="7:12">
      <c r="G405" s="4"/>
      <c r="H405" s="4"/>
      <c r="L405" s="4"/>
    </row>
    <row r="406" spans="7:12">
      <c r="G406" s="4"/>
      <c r="H406" s="4"/>
      <c r="L406" s="4"/>
    </row>
    <row r="407" spans="7:12">
      <c r="G407" s="4"/>
      <c r="H407" s="4"/>
      <c r="L407" s="4"/>
    </row>
    <row r="408" spans="7:12">
      <c r="G408" s="4"/>
      <c r="H408" s="4"/>
      <c r="L408" s="4"/>
    </row>
    <row r="409" spans="7:12">
      <c r="G409" s="4"/>
      <c r="H409" s="4"/>
      <c r="L409" s="4"/>
    </row>
    <row r="410" spans="7:12">
      <c r="G410" s="4"/>
      <c r="H410" s="4"/>
      <c r="L410" s="4"/>
    </row>
    <row r="411" spans="7:12">
      <c r="G411" s="4"/>
      <c r="H411" s="4"/>
      <c r="L411" s="4"/>
    </row>
    <row r="412" spans="7:12">
      <c r="G412" s="4"/>
      <c r="H412" s="4"/>
      <c r="L412" s="4"/>
    </row>
    <row r="413" spans="7:12">
      <c r="G413" s="4"/>
      <c r="H413" s="4"/>
      <c r="L413" s="4"/>
    </row>
    <row r="414" spans="7:12">
      <c r="G414" s="4"/>
      <c r="H414" s="4"/>
      <c r="L414" s="4"/>
    </row>
    <row r="415" spans="7:12">
      <c r="G415" s="4"/>
      <c r="H415" s="4"/>
      <c r="L415" s="4"/>
    </row>
    <row r="416" spans="7:12">
      <c r="G416" s="4"/>
      <c r="H416" s="4"/>
      <c r="L416" s="4"/>
    </row>
    <row r="417" spans="7:12">
      <c r="G417" s="4"/>
      <c r="H417" s="4"/>
      <c r="L417" s="4"/>
    </row>
    <row r="418" spans="7:12">
      <c r="G418" s="4"/>
      <c r="H418" s="4"/>
      <c r="L418" s="4"/>
    </row>
    <row r="419" spans="7:12">
      <c r="G419" s="4"/>
      <c r="H419" s="4"/>
      <c r="L419" s="4"/>
    </row>
    <row r="420" spans="7:12">
      <c r="G420" s="4"/>
      <c r="H420" s="4"/>
      <c r="L420" s="4"/>
    </row>
    <row r="421" spans="7:12">
      <c r="G421" s="4"/>
      <c r="H421" s="4"/>
      <c r="L421" s="4"/>
    </row>
    <row r="422" spans="7:12">
      <c r="G422" s="4"/>
      <c r="H422" s="4"/>
      <c r="L422" s="4"/>
    </row>
    <row r="423" spans="7:12">
      <c r="G423" s="4"/>
      <c r="H423" s="4"/>
      <c r="L423" s="4"/>
    </row>
    <row r="424" spans="7:12">
      <c r="G424" s="4"/>
      <c r="H424" s="4"/>
      <c r="L424" s="4"/>
    </row>
    <row r="425" spans="7:12">
      <c r="G425" s="4"/>
      <c r="H425" s="4"/>
      <c r="L425" s="4"/>
    </row>
    <row r="426" spans="7:12">
      <c r="G426" s="4"/>
      <c r="H426" s="4"/>
      <c r="L426" s="4"/>
    </row>
    <row r="427" spans="7:12">
      <c r="G427" s="4"/>
      <c r="H427" s="4"/>
      <c r="L427" s="4"/>
    </row>
    <row r="428" spans="7:12">
      <c r="G428" s="4"/>
      <c r="H428" s="4"/>
      <c r="L428" s="4"/>
    </row>
    <row r="429" spans="7:12">
      <c r="G429" s="4"/>
      <c r="H429" s="4"/>
      <c r="L429" s="4"/>
    </row>
    <row r="430" spans="7:12">
      <c r="G430" s="4"/>
      <c r="H430" s="4"/>
      <c r="L430" s="4"/>
    </row>
    <row r="431" spans="7:12">
      <c r="G431" s="4"/>
      <c r="H431" s="4"/>
      <c r="L431" s="4"/>
    </row>
    <row r="432" spans="7:12">
      <c r="G432" s="4"/>
      <c r="H432" s="4"/>
      <c r="L432" s="4"/>
    </row>
    <row r="433" spans="7:12">
      <c r="G433" s="4"/>
      <c r="H433" s="4"/>
      <c r="L433" s="4"/>
    </row>
    <row r="434" spans="7:12">
      <c r="G434" s="4"/>
      <c r="H434" s="4"/>
      <c r="L434" s="4"/>
    </row>
    <row r="435" spans="7:12">
      <c r="G435" s="4"/>
      <c r="H435" s="4"/>
      <c r="L435" s="4"/>
    </row>
    <row r="436" spans="7:12">
      <c r="G436" s="4"/>
      <c r="H436" s="4"/>
      <c r="L436" s="4"/>
    </row>
    <row r="437" spans="7:12">
      <c r="G437" s="4"/>
      <c r="H437" s="4"/>
      <c r="L437" s="4"/>
    </row>
    <row r="438" spans="7:12">
      <c r="G438" s="4"/>
      <c r="H438" s="4"/>
      <c r="L438" s="4"/>
    </row>
    <row r="439" spans="7:12">
      <c r="G439" s="4"/>
      <c r="H439" s="4"/>
      <c r="L439" s="4"/>
    </row>
    <row r="440" spans="7:12">
      <c r="G440" s="4"/>
      <c r="H440" s="4"/>
      <c r="L440" s="4"/>
    </row>
    <row r="441" spans="7:12">
      <c r="G441" s="4"/>
      <c r="H441" s="4"/>
      <c r="L441" s="4"/>
    </row>
    <row r="442" spans="7:12">
      <c r="G442" s="4"/>
      <c r="H442" s="4"/>
      <c r="L442" s="4"/>
    </row>
    <row r="443" spans="7:12">
      <c r="G443" s="4"/>
      <c r="H443" s="4"/>
      <c r="L443" s="4"/>
    </row>
    <row r="444" spans="7:12">
      <c r="G444" s="4"/>
      <c r="H444" s="4"/>
      <c r="L444" s="4"/>
    </row>
    <row r="445" spans="7:12">
      <c r="G445" s="4"/>
      <c r="H445" s="4"/>
      <c r="L445" s="4"/>
    </row>
    <row r="446" spans="7:12">
      <c r="G446" s="4"/>
      <c r="H446" s="4"/>
      <c r="L446" s="4"/>
    </row>
    <row r="447" spans="7:12">
      <c r="G447" s="4"/>
      <c r="H447" s="4"/>
      <c r="L447" s="4"/>
    </row>
    <row r="448" spans="7:12">
      <c r="G448" s="4"/>
      <c r="H448" s="4"/>
      <c r="L448" s="4"/>
    </row>
    <row r="449" spans="7:12">
      <c r="G449" s="4"/>
      <c r="H449" s="4"/>
      <c r="L449" s="4"/>
    </row>
    <row r="450" spans="7:12">
      <c r="G450" s="4"/>
      <c r="H450" s="4"/>
      <c r="L450" s="4"/>
    </row>
    <row r="451" spans="7:12">
      <c r="G451" s="4"/>
      <c r="H451" s="4"/>
      <c r="L451" s="4"/>
    </row>
    <row r="452" spans="7:12">
      <c r="G452" s="4"/>
      <c r="H452" s="4"/>
      <c r="L452" s="4"/>
    </row>
    <row r="453" spans="7:12">
      <c r="G453" s="4"/>
      <c r="H453" s="4"/>
      <c r="L453" s="4"/>
    </row>
    <row r="454" spans="7:12">
      <c r="G454" s="4"/>
      <c r="H454" s="4"/>
      <c r="L454" s="4"/>
    </row>
    <row r="455" spans="7:12">
      <c r="G455" s="4"/>
      <c r="H455" s="4"/>
      <c r="L455" s="4"/>
    </row>
    <row r="456" spans="7:12">
      <c r="G456" s="4"/>
      <c r="H456" s="4"/>
      <c r="L456" s="4"/>
    </row>
    <row r="457" spans="7:12">
      <c r="G457" s="4"/>
      <c r="H457" s="4"/>
      <c r="L457" s="4"/>
    </row>
    <row r="458" spans="7:12">
      <c r="G458" s="4"/>
      <c r="H458" s="4"/>
      <c r="L458" s="4"/>
    </row>
    <row r="459" spans="7:12">
      <c r="G459" s="4"/>
      <c r="H459" s="4"/>
      <c r="L459" s="4"/>
    </row>
    <row r="460" spans="7:12">
      <c r="G460" s="4"/>
      <c r="H460" s="4"/>
      <c r="L460" s="4"/>
    </row>
    <row r="461" spans="7:12">
      <c r="G461" s="4"/>
      <c r="H461" s="4"/>
      <c r="L461" s="4"/>
    </row>
    <row r="462" spans="7:12">
      <c r="G462" s="4"/>
      <c r="H462" s="4"/>
      <c r="L462" s="4"/>
    </row>
    <row r="463" spans="7:12">
      <c r="G463" s="4"/>
      <c r="H463" s="4"/>
      <c r="L463" s="4"/>
    </row>
    <row r="464" spans="7:12">
      <c r="G464" s="4"/>
      <c r="H464" s="4"/>
      <c r="L464" s="4"/>
    </row>
    <row r="465" spans="7:12">
      <c r="G465" s="4"/>
      <c r="H465" s="4"/>
      <c r="L465" s="4"/>
    </row>
    <row r="466" spans="7:12">
      <c r="G466" s="4"/>
      <c r="H466" s="4"/>
      <c r="L466" s="4"/>
    </row>
    <row r="467" spans="7:12">
      <c r="G467" s="4"/>
      <c r="H467" s="4"/>
      <c r="L467" s="4"/>
    </row>
    <row r="468" spans="7:12">
      <c r="G468" s="4"/>
      <c r="H468" s="4"/>
      <c r="L468" s="4"/>
    </row>
    <row r="469" spans="7:12">
      <c r="G469" s="4"/>
      <c r="H469" s="4"/>
      <c r="L469" s="4"/>
    </row>
    <row r="470" spans="7:12">
      <c r="G470" s="4"/>
      <c r="H470" s="4"/>
      <c r="L470" s="4"/>
    </row>
    <row r="471" spans="7:12">
      <c r="G471" s="4"/>
      <c r="H471" s="4"/>
      <c r="L471" s="4"/>
    </row>
    <row r="472" spans="7:12">
      <c r="G472" s="4"/>
      <c r="H472" s="4"/>
      <c r="L472" s="4"/>
    </row>
    <row r="473" spans="7:12">
      <c r="G473" s="4"/>
      <c r="H473" s="4"/>
      <c r="L473" s="4"/>
    </row>
    <row r="474" spans="7:12">
      <c r="G474" s="4"/>
      <c r="H474" s="4"/>
      <c r="L474" s="4"/>
    </row>
    <row r="475" spans="7:12">
      <c r="G475" s="4"/>
      <c r="H475" s="4"/>
      <c r="L475" s="4"/>
    </row>
    <row r="476" spans="7:12">
      <c r="G476" s="4"/>
      <c r="H476" s="4"/>
      <c r="L476" s="4"/>
    </row>
    <row r="477" spans="7:12">
      <c r="G477" s="4"/>
      <c r="H477" s="4"/>
      <c r="L477" s="4"/>
    </row>
    <row r="478" spans="7:12">
      <c r="G478" s="4"/>
      <c r="H478" s="4"/>
      <c r="L478" s="4"/>
    </row>
    <row r="479" spans="7:12">
      <c r="G479" s="4"/>
      <c r="H479" s="4"/>
      <c r="L479" s="4"/>
    </row>
    <row r="480" spans="7:12">
      <c r="G480" s="4"/>
      <c r="H480" s="4"/>
      <c r="L480" s="4"/>
    </row>
    <row r="481" spans="7:12">
      <c r="G481" s="4"/>
      <c r="H481" s="4"/>
      <c r="L481" s="4"/>
    </row>
    <row r="482" spans="7:12">
      <c r="G482" s="4"/>
      <c r="H482" s="4"/>
      <c r="L482" s="4"/>
    </row>
    <row r="483" spans="7:12">
      <c r="G483" s="4"/>
      <c r="H483" s="4"/>
      <c r="L483" s="4"/>
    </row>
    <row r="484" spans="7:12">
      <c r="G484" s="4"/>
      <c r="H484" s="4"/>
      <c r="L484" s="4"/>
    </row>
    <row r="485" spans="7:12">
      <c r="G485" s="4"/>
      <c r="H485" s="4"/>
      <c r="L485" s="4"/>
    </row>
    <row r="486" spans="7:12">
      <c r="G486" s="4"/>
      <c r="H486" s="4"/>
      <c r="L486" s="4"/>
    </row>
    <row r="487" spans="7:12">
      <c r="G487" s="4"/>
      <c r="H487" s="4"/>
      <c r="L487" s="4"/>
    </row>
    <row r="488" spans="7:12">
      <c r="G488" s="4"/>
      <c r="H488" s="4"/>
      <c r="L488" s="4"/>
    </row>
    <row r="489" spans="7:12">
      <c r="G489" s="4"/>
      <c r="H489" s="4"/>
      <c r="L489" s="4"/>
    </row>
    <row r="490" spans="7:12">
      <c r="G490" s="4"/>
      <c r="H490" s="4"/>
      <c r="L490" s="4"/>
    </row>
    <row r="491" spans="7:12">
      <c r="G491" s="4"/>
      <c r="H491" s="4"/>
      <c r="L491" s="4"/>
    </row>
    <row r="492" spans="7:12">
      <c r="G492" s="4"/>
      <c r="H492" s="4"/>
      <c r="L492" s="4"/>
    </row>
    <row r="493" spans="7:12">
      <c r="G493" s="4"/>
      <c r="H493" s="4"/>
      <c r="L493" s="4"/>
    </row>
    <row r="494" spans="7:12">
      <c r="G494" s="4"/>
      <c r="H494" s="4"/>
      <c r="L494" s="4"/>
    </row>
    <row r="495" spans="7:12">
      <c r="G495" s="4"/>
      <c r="H495" s="4"/>
      <c r="L495" s="4"/>
    </row>
    <row r="496" spans="7:12">
      <c r="G496" s="4"/>
      <c r="H496" s="4"/>
      <c r="L496" s="4"/>
    </row>
    <row r="497" spans="7:12">
      <c r="G497" s="4"/>
      <c r="H497" s="4"/>
      <c r="L497" s="4"/>
    </row>
    <row r="498" spans="7:12">
      <c r="G498" s="4"/>
      <c r="H498" s="4"/>
      <c r="L498" s="4"/>
    </row>
    <row r="499" spans="7:12">
      <c r="G499" s="4"/>
      <c r="H499" s="4"/>
      <c r="L499" s="4"/>
    </row>
    <row r="500" spans="7:12">
      <c r="G500" s="4"/>
      <c r="H500" s="4"/>
      <c r="L500" s="4"/>
    </row>
    <row r="501" spans="7:12">
      <c r="G501" s="4"/>
      <c r="H501" s="4"/>
      <c r="L501" s="4"/>
    </row>
    <row r="502" spans="7:12">
      <c r="G502" s="4"/>
      <c r="H502" s="4"/>
      <c r="L502" s="4"/>
    </row>
    <row r="503" spans="7:12">
      <c r="G503" s="4"/>
      <c r="H503" s="4"/>
      <c r="L503" s="4"/>
    </row>
    <row r="504" spans="7:12">
      <c r="G504" s="4"/>
      <c r="H504" s="4"/>
      <c r="L504" s="4"/>
    </row>
    <row r="505" spans="7:12">
      <c r="G505" s="4"/>
      <c r="H505" s="4"/>
      <c r="L505" s="4"/>
    </row>
    <row r="506" spans="7:12">
      <c r="G506" s="4"/>
      <c r="H506" s="4"/>
      <c r="L506" s="4"/>
    </row>
    <row r="507" spans="7:12">
      <c r="G507" s="4"/>
      <c r="H507" s="4"/>
      <c r="L507" s="4"/>
    </row>
    <row r="508" spans="7:12">
      <c r="G508" s="4"/>
      <c r="H508" s="4"/>
      <c r="L508" s="4"/>
    </row>
    <row r="509" spans="7:12">
      <c r="G509" s="4"/>
      <c r="H509" s="4"/>
      <c r="L509" s="4"/>
    </row>
    <row r="510" spans="7:12">
      <c r="G510" s="4"/>
      <c r="H510" s="4"/>
      <c r="L510" s="4"/>
    </row>
    <row r="511" spans="7:12">
      <c r="G511" s="4"/>
      <c r="H511" s="4"/>
      <c r="L511" s="4"/>
    </row>
    <row r="512" spans="7:12">
      <c r="G512" s="4"/>
      <c r="H512" s="4"/>
      <c r="L512" s="4"/>
    </row>
    <row r="513" spans="7:12">
      <c r="G513" s="4"/>
      <c r="H513" s="4"/>
      <c r="L513" s="4"/>
    </row>
    <row r="514" spans="7:12">
      <c r="G514" s="4"/>
      <c r="H514" s="4"/>
      <c r="L514" s="4"/>
    </row>
    <row r="515" spans="7:12">
      <c r="G515" s="4"/>
      <c r="H515" s="4"/>
      <c r="L515" s="4"/>
    </row>
    <row r="516" spans="7:12">
      <c r="G516" s="4"/>
      <c r="H516" s="4"/>
      <c r="L516" s="4"/>
    </row>
    <row r="517" spans="7:12">
      <c r="G517" s="4"/>
      <c r="H517" s="4"/>
      <c r="L517" s="4"/>
    </row>
    <row r="518" spans="7:12">
      <c r="G518" s="4"/>
      <c r="H518" s="4"/>
      <c r="L518" s="4"/>
    </row>
    <row r="519" spans="7:12">
      <c r="G519" s="4"/>
      <c r="H519" s="4"/>
      <c r="L519" s="4"/>
    </row>
    <row r="520" spans="7:12">
      <c r="G520" s="4"/>
      <c r="H520" s="4"/>
      <c r="L520" s="4"/>
    </row>
    <row r="521" spans="7:12">
      <c r="G521" s="4"/>
      <c r="H521" s="4"/>
      <c r="L521" s="4"/>
    </row>
    <row r="522" spans="7:12">
      <c r="G522" s="4"/>
      <c r="H522" s="4"/>
      <c r="L522" s="4"/>
    </row>
    <row r="523" spans="7:12">
      <c r="G523" s="4"/>
      <c r="H523" s="4"/>
      <c r="L523" s="4"/>
    </row>
    <row r="524" spans="7:12">
      <c r="G524" s="4"/>
      <c r="H524" s="4"/>
      <c r="L524" s="4"/>
    </row>
    <row r="525" spans="7:12">
      <c r="G525" s="4"/>
      <c r="H525" s="4"/>
      <c r="L525" s="4"/>
    </row>
    <row r="526" spans="7:12">
      <c r="G526" s="4"/>
      <c r="H526" s="4"/>
      <c r="L526" s="4"/>
    </row>
    <row r="527" spans="7:12">
      <c r="G527" s="4"/>
      <c r="H527" s="4"/>
      <c r="L527" s="4"/>
    </row>
    <row r="528" spans="7:12">
      <c r="G528" s="4"/>
      <c r="H528" s="4"/>
      <c r="L528" s="4"/>
    </row>
    <row r="529" spans="7:12">
      <c r="G529" s="4"/>
      <c r="H529" s="4"/>
      <c r="L529" s="4"/>
    </row>
    <row r="530" spans="7:12">
      <c r="G530" s="4"/>
      <c r="H530" s="4"/>
      <c r="L530" s="4"/>
    </row>
    <row r="531" spans="7:12">
      <c r="G531" s="4"/>
      <c r="H531" s="4"/>
      <c r="L531" s="4"/>
    </row>
    <row r="532" spans="7:12">
      <c r="G532" s="4"/>
      <c r="H532" s="4"/>
      <c r="L532" s="4"/>
    </row>
    <row r="533" spans="7:12">
      <c r="G533" s="4"/>
      <c r="H533" s="4"/>
      <c r="L533" s="4"/>
    </row>
    <row r="534" spans="7:12">
      <c r="G534" s="4"/>
      <c r="H534" s="4"/>
      <c r="L534" s="4"/>
    </row>
    <row r="535" spans="7:12">
      <c r="G535" s="4"/>
      <c r="H535" s="4"/>
      <c r="L535" s="4"/>
    </row>
    <row r="536" spans="7:12">
      <c r="G536" s="4"/>
      <c r="H536" s="4"/>
      <c r="L536" s="4"/>
    </row>
    <row r="537" spans="7:12">
      <c r="G537" s="4"/>
      <c r="H537" s="4"/>
      <c r="L537" s="4"/>
    </row>
    <row r="538" spans="7:12">
      <c r="G538" s="4"/>
      <c r="H538" s="4"/>
      <c r="L538" s="4"/>
    </row>
    <row r="539" spans="7:12">
      <c r="G539" s="4"/>
      <c r="H539" s="4"/>
      <c r="L539" s="4"/>
    </row>
    <row r="540" spans="7:12">
      <c r="G540" s="4"/>
      <c r="H540" s="4"/>
      <c r="L540" s="4"/>
    </row>
    <row r="541" spans="7:12">
      <c r="G541" s="4"/>
      <c r="H541" s="4"/>
      <c r="L541" s="4"/>
    </row>
    <row r="542" spans="7:12">
      <c r="G542" s="4"/>
      <c r="H542" s="4"/>
      <c r="L542" s="4"/>
    </row>
    <row r="543" spans="7:12">
      <c r="G543" s="4"/>
      <c r="H543" s="4"/>
      <c r="L543" s="4"/>
    </row>
    <row r="544" spans="7:12">
      <c r="G544" s="4"/>
      <c r="H544" s="4"/>
      <c r="L544" s="4"/>
    </row>
    <row r="545" spans="7:12">
      <c r="G545" s="4"/>
      <c r="H545" s="4"/>
      <c r="L545" s="4"/>
    </row>
    <row r="546" spans="7:12">
      <c r="G546" s="4"/>
      <c r="H546" s="4"/>
      <c r="L546" s="4"/>
    </row>
    <row r="547" spans="7:12">
      <c r="G547" s="4"/>
      <c r="H547" s="4"/>
      <c r="L547" s="4"/>
    </row>
    <row r="548" spans="7:12">
      <c r="G548" s="4"/>
      <c r="H548" s="4"/>
      <c r="L548" s="4"/>
    </row>
    <row r="549" spans="7:12">
      <c r="G549" s="4"/>
      <c r="H549" s="4"/>
      <c r="L549" s="4"/>
    </row>
    <row r="550" spans="7:12">
      <c r="G550" s="4"/>
      <c r="H550" s="4"/>
      <c r="L550" s="4"/>
    </row>
    <row r="551" spans="7:12">
      <c r="G551" s="4"/>
      <c r="H551" s="4"/>
      <c r="L551" s="4"/>
    </row>
    <row r="552" spans="7:12">
      <c r="G552" s="4"/>
      <c r="H552" s="4"/>
      <c r="L552" s="4"/>
    </row>
    <row r="553" spans="7:12">
      <c r="G553" s="4"/>
      <c r="H553" s="4"/>
      <c r="L553" s="4"/>
    </row>
    <row r="554" spans="7:12">
      <c r="G554" s="4"/>
      <c r="H554" s="4"/>
      <c r="L554" s="4"/>
    </row>
    <row r="555" spans="7:12">
      <c r="G555" s="4"/>
      <c r="H555" s="4"/>
      <c r="L555" s="4"/>
    </row>
    <row r="556" spans="7:12">
      <c r="G556" s="4"/>
      <c r="H556" s="4"/>
      <c r="L556" s="4"/>
    </row>
    <row r="557" spans="7:12">
      <c r="G557" s="4"/>
      <c r="H557" s="4"/>
      <c r="L557" s="4"/>
    </row>
    <row r="558" spans="7:12">
      <c r="G558" s="4"/>
      <c r="H558" s="4"/>
      <c r="L558" s="4"/>
    </row>
    <row r="559" spans="7:12">
      <c r="G559" s="4"/>
      <c r="H559" s="4"/>
      <c r="L559" s="4"/>
    </row>
    <row r="560" spans="7:12">
      <c r="G560" s="4"/>
      <c r="H560" s="4"/>
      <c r="L560" s="4"/>
    </row>
    <row r="561" spans="7:12">
      <c r="G561" s="4"/>
      <c r="H561" s="4"/>
      <c r="L561" s="4"/>
    </row>
    <row r="562" spans="7:12">
      <c r="G562" s="4"/>
      <c r="H562" s="4"/>
      <c r="L562" s="4"/>
    </row>
    <row r="563" spans="7:12">
      <c r="G563" s="4"/>
      <c r="H563" s="4"/>
      <c r="L563" s="4"/>
    </row>
    <row r="564" spans="7:12">
      <c r="G564" s="4"/>
      <c r="H564" s="4"/>
      <c r="L564" s="4"/>
    </row>
    <row r="565" spans="7:12">
      <c r="G565" s="4"/>
      <c r="H565" s="4"/>
      <c r="L565" s="4"/>
    </row>
    <row r="566" spans="7:12">
      <c r="G566" s="4"/>
      <c r="H566" s="4"/>
      <c r="L566" s="4"/>
    </row>
    <row r="567" spans="7:12">
      <c r="G567" s="4"/>
      <c r="H567" s="4"/>
      <c r="L567" s="4"/>
    </row>
    <row r="568" spans="7:12">
      <c r="G568" s="4"/>
      <c r="H568" s="4"/>
      <c r="L568" s="4"/>
    </row>
    <row r="569" spans="7:12">
      <c r="G569" s="4"/>
      <c r="H569" s="4"/>
      <c r="L569" s="4"/>
    </row>
    <row r="570" spans="7:12">
      <c r="G570" s="4"/>
      <c r="H570" s="4"/>
      <c r="L570" s="4"/>
    </row>
    <row r="571" spans="7:12">
      <c r="G571" s="4"/>
      <c r="H571" s="4"/>
      <c r="L571" s="4"/>
    </row>
    <row r="572" spans="7:12">
      <c r="G572" s="4"/>
      <c r="H572" s="4"/>
      <c r="L572" s="4"/>
    </row>
    <row r="573" spans="7:12">
      <c r="G573" s="4"/>
      <c r="H573" s="4"/>
      <c r="L573" s="4"/>
    </row>
    <row r="574" spans="7:12">
      <c r="G574" s="4"/>
      <c r="H574" s="4"/>
      <c r="L574" s="4"/>
    </row>
    <row r="575" spans="7:12">
      <c r="G575" s="4"/>
      <c r="H575" s="4"/>
      <c r="L575" s="4"/>
    </row>
    <row r="576" spans="7:12">
      <c r="G576" s="4"/>
      <c r="H576" s="4"/>
      <c r="L576" s="4"/>
    </row>
    <row r="577" spans="7:12">
      <c r="G577" s="4"/>
      <c r="H577" s="4"/>
      <c r="L577" s="4"/>
    </row>
    <row r="578" spans="7:12">
      <c r="G578" s="4"/>
      <c r="H578" s="4"/>
      <c r="L578" s="4"/>
    </row>
    <row r="579" spans="7:12">
      <c r="G579" s="4"/>
      <c r="H579" s="4"/>
      <c r="L579" s="4"/>
    </row>
    <row r="580" spans="7:12">
      <c r="G580" s="4"/>
      <c r="H580" s="4"/>
      <c r="L580" s="4"/>
    </row>
    <row r="581" spans="7:12">
      <c r="G581" s="4"/>
      <c r="H581" s="4"/>
      <c r="L581" s="4"/>
    </row>
    <row r="582" spans="7:12">
      <c r="G582" s="4"/>
      <c r="H582" s="4"/>
      <c r="L582" s="4"/>
    </row>
    <row r="583" spans="7:12">
      <c r="G583" s="4"/>
      <c r="H583" s="4"/>
      <c r="L583" s="4"/>
    </row>
    <row r="584" spans="7:12">
      <c r="G584" s="4"/>
      <c r="H584" s="4"/>
      <c r="L584" s="4"/>
    </row>
    <row r="585" spans="7:12">
      <c r="G585" s="4"/>
      <c r="H585" s="4"/>
      <c r="L585" s="4"/>
    </row>
    <row r="586" spans="7:12">
      <c r="G586" s="4"/>
      <c r="H586" s="4"/>
      <c r="L586" s="4"/>
    </row>
    <row r="587" spans="7:12">
      <c r="G587" s="4"/>
      <c r="H587" s="4"/>
      <c r="L587" s="4"/>
    </row>
    <row r="588" spans="7:12">
      <c r="G588" s="4"/>
      <c r="H588" s="4"/>
      <c r="L588" s="4"/>
    </row>
    <row r="589" spans="7:12">
      <c r="G589" s="4"/>
      <c r="H589" s="4"/>
      <c r="L589" s="4"/>
    </row>
    <row r="590" spans="7:12">
      <c r="G590" s="4"/>
      <c r="H590" s="4"/>
      <c r="L590" s="4"/>
    </row>
    <row r="591" spans="7:12">
      <c r="G591" s="4"/>
      <c r="H591" s="4"/>
      <c r="L591" s="4"/>
    </row>
    <row r="592" spans="7:12">
      <c r="G592" s="4"/>
      <c r="H592" s="4"/>
      <c r="L592" s="4"/>
    </row>
    <row r="593" spans="7:12">
      <c r="G593" s="4"/>
      <c r="H593" s="4"/>
      <c r="L593" s="4"/>
    </row>
    <row r="594" spans="7:12">
      <c r="G594" s="4"/>
      <c r="H594" s="4"/>
      <c r="L594" s="4"/>
    </row>
    <row r="595" spans="7:12">
      <c r="G595" s="4"/>
      <c r="H595" s="4"/>
      <c r="L595" s="4"/>
    </row>
    <row r="596" spans="7:12">
      <c r="G596" s="4"/>
      <c r="H596" s="4"/>
      <c r="L596" s="4"/>
    </row>
    <row r="597" spans="7:12">
      <c r="G597" s="4"/>
      <c r="H597" s="4"/>
      <c r="L597" s="4"/>
    </row>
    <row r="598" spans="7:12">
      <c r="G598" s="4"/>
      <c r="H598" s="4"/>
      <c r="L598" s="4"/>
    </row>
    <row r="599" spans="7:12">
      <c r="G599" s="4"/>
      <c r="H599" s="4"/>
      <c r="L599" s="4"/>
    </row>
    <row r="600" spans="7:12">
      <c r="G600" s="4"/>
      <c r="H600" s="4"/>
      <c r="L600" s="4"/>
    </row>
    <row r="601" spans="7:12">
      <c r="G601" s="4"/>
      <c r="H601" s="4"/>
      <c r="L601" s="4"/>
    </row>
    <row r="602" spans="7:12">
      <c r="G602" s="4"/>
      <c r="H602" s="4"/>
      <c r="L602" s="4"/>
    </row>
    <row r="603" spans="7:12">
      <c r="G603" s="4"/>
      <c r="H603" s="4"/>
      <c r="L603" s="4"/>
    </row>
    <row r="604" spans="7:12">
      <c r="G604" s="4"/>
      <c r="H604" s="4"/>
      <c r="L604" s="4"/>
    </row>
    <row r="605" spans="7:12">
      <c r="G605" s="4"/>
      <c r="H605" s="4"/>
      <c r="L605" s="4"/>
    </row>
    <row r="606" spans="7:12">
      <c r="G606" s="4"/>
      <c r="H606" s="4"/>
      <c r="L606" s="4"/>
    </row>
    <row r="607" spans="7:12">
      <c r="G607" s="4"/>
      <c r="H607" s="4"/>
      <c r="L607" s="4"/>
    </row>
    <row r="608" spans="7:12">
      <c r="G608" s="4"/>
      <c r="H608" s="4"/>
      <c r="L608" s="4"/>
    </row>
    <row r="609" spans="7:12">
      <c r="G609" s="4"/>
      <c r="H609" s="4"/>
      <c r="L609" s="4"/>
    </row>
    <row r="610" spans="7:12">
      <c r="G610" s="4"/>
      <c r="H610" s="4"/>
      <c r="L610" s="4"/>
    </row>
    <row r="611" spans="7:12">
      <c r="G611" s="4"/>
      <c r="H611" s="4"/>
      <c r="L611" s="4"/>
    </row>
    <row r="612" spans="7:12">
      <c r="G612" s="4"/>
      <c r="H612" s="4"/>
      <c r="L612" s="4"/>
    </row>
    <row r="613" spans="7:12">
      <c r="G613" s="4"/>
      <c r="H613" s="4"/>
      <c r="L613" s="4"/>
    </row>
    <row r="614" spans="7:12">
      <c r="G614" s="4"/>
      <c r="H614" s="4"/>
      <c r="L614" s="4"/>
    </row>
    <row r="615" spans="7:12">
      <c r="G615" s="4"/>
      <c r="H615" s="4"/>
      <c r="L615" s="4"/>
    </row>
    <row r="616" spans="7:12">
      <c r="G616" s="4"/>
      <c r="H616" s="4"/>
      <c r="L616" s="4"/>
    </row>
    <row r="617" spans="7:12">
      <c r="G617" s="4"/>
      <c r="H617" s="4"/>
      <c r="L617" s="4"/>
    </row>
    <row r="618" spans="7:12">
      <c r="G618" s="4"/>
      <c r="H618" s="4"/>
      <c r="L618" s="4"/>
    </row>
    <row r="619" spans="7:12">
      <c r="G619" s="4"/>
      <c r="H619" s="4"/>
      <c r="L619" s="4"/>
    </row>
    <row r="620" spans="7:12">
      <c r="G620" s="4"/>
      <c r="H620" s="4"/>
      <c r="L620" s="4"/>
    </row>
    <row r="621" spans="7:12">
      <c r="G621" s="4"/>
      <c r="H621" s="4"/>
      <c r="L621" s="4"/>
    </row>
    <row r="622" spans="7:12">
      <c r="G622" s="4"/>
      <c r="H622" s="4"/>
      <c r="L622" s="4"/>
    </row>
    <row r="623" spans="7:12">
      <c r="G623" s="4"/>
      <c r="H623" s="4"/>
      <c r="L623" s="4"/>
    </row>
    <row r="624" spans="7:12">
      <c r="G624" s="4"/>
      <c r="H624" s="4"/>
      <c r="L624" s="4"/>
    </row>
    <row r="625" spans="7:12">
      <c r="G625" s="4"/>
      <c r="H625" s="4"/>
      <c r="L625" s="4"/>
    </row>
    <row r="626" spans="7:12">
      <c r="G626" s="4"/>
      <c r="H626" s="4"/>
      <c r="L626" s="4"/>
    </row>
    <row r="627" spans="7:12">
      <c r="G627" s="4"/>
      <c r="H627" s="4"/>
      <c r="L627" s="4"/>
    </row>
    <row r="628" spans="7:12">
      <c r="G628" s="4"/>
      <c r="H628" s="4"/>
      <c r="L628" s="4"/>
    </row>
    <row r="629" spans="7:12">
      <c r="G629" s="4"/>
      <c r="H629" s="4"/>
      <c r="L629" s="4"/>
    </row>
    <row r="630" spans="7:12">
      <c r="G630" s="4"/>
      <c r="H630" s="4"/>
      <c r="L630" s="4"/>
    </row>
    <row r="631" spans="7:12">
      <c r="G631" s="4"/>
      <c r="H631" s="4"/>
      <c r="L631" s="4"/>
    </row>
    <row r="632" spans="7:12">
      <c r="G632" s="4"/>
      <c r="H632" s="4"/>
      <c r="L632" s="4"/>
    </row>
    <row r="633" spans="7:12">
      <c r="G633" s="4"/>
      <c r="H633" s="4"/>
      <c r="L633" s="4"/>
    </row>
    <row r="634" spans="7:12">
      <c r="G634" s="4"/>
      <c r="H634" s="4"/>
      <c r="L634" s="4"/>
    </row>
    <row r="635" spans="7:12">
      <c r="G635" s="4"/>
      <c r="H635" s="4"/>
      <c r="L635" s="4"/>
    </row>
    <row r="636" spans="7:12">
      <c r="G636" s="4"/>
      <c r="H636" s="4"/>
      <c r="L636" s="4"/>
    </row>
    <row r="637" spans="7:12">
      <c r="G637" s="4"/>
      <c r="H637" s="4"/>
      <c r="L637" s="4"/>
    </row>
    <row r="638" spans="7:12">
      <c r="G638" s="4"/>
      <c r="H638" s="4"/>
      <c r="L638" s="4"/>
    </row>
    <row r="639" spans="7:12">
      <c r="G639" s="4"/>
      <c r="H639" s="4"/>
      <c r="L639" s="4"/>
    </row>
    <row r="640" spans="7:12">
      <c r="G640" s="4"/>
      <c r="H640" s="4"/>
      <c r="L640" s="4"/>
    </row>
    <row r="641" spans="7:12">
      <c r="G641" s="4"/>
      <c r="H641" s="4"/>
      <c r="L641" s="4"/>
    </row>
    <row r="642" spans="7:12">
      <c r="G642" s="4"/>
      <c r="H642" s="4"/>
      <c r="L642" s="4"/>
    </row>
    <row r="643" spans="7:12">
      <c r="G643" s="4"/>
      <c r="H643" s="4"/>
      <c r="L643" s="4"/>
    </row>
    <row r="644" spans="7:12">
      <c r="G644" s="4"/>
      <c r="H644" s="4"/>
      <c r="L644" s="4"/>
    </row>
    <row r="645" spans="7:12">
      <c r="G645" s="4"/>
      <c r="H645" s="4"/>
      <c r="L645" s="4"/>
    </row>
    <row r="646" spans="7:12">
      <c r="G646" s="4"/>
      <c r="H646" s="4"/>
      <c r="L646" s="4"/>
    </row>
    <row r="647" spans="7:12">
      <c r="G647" s="4"/>
      <c r="H647" s="4"/>
      <c r="L647" s="4"/>
    </row>
    <row r="648" spans="7:12">
      <c r="G648" s="4"/>
      <c r="H648" s="4"/>
      <c r="L648" s="4"/>
    </row>
    <row r="649" spans="7:12">
      <c r="G649" s="4"/>
      <c r="H649" s="4"/>
      <c r="L649" s="4"/>
    </row>
    <row r="650" spans="7:12">
      <c r="G650" s="4"/>
      <c r="H650" s="4"/>
      <c r="L650" s="4"/>
    </row>
    <row r="651" spans="7:12">
      <c r="G651" s="4"/>
      <c r="H651" s="4"/>
      <c r="L651" s="4"/>
    </row>
    <row r="652" spans="7:12">
      <c r="G652" s="4"/>
      <c r="H652" s="4"/>
      <c r="L652" s="4"/>
    </row>
    <row r="653" spans="7:12">
      <c r="G653" s="4"/>
      <c r="H653" s="4"/>
      <c r="L653" s="4"/>
    </row>
    <row r="654" spans="7:12">
      <c r="G654" s="4"/>
      <c r="H654" s="4"/>
      <c r="L654" s="4"/>
    </row>
    <row r="655" spans="7:12">
      <c r="G655" s="4"/>
      <c r="H655" s="4"/>
      <c r="L655" s="4"/>
    </row>
    <row r="656" spans="7:12">
      <c r="G656" s="4"/>
      <c r="H656" s="4"/>
      <c r="L656" s="4"/>
    </row>
    <row r="657" spans="7:12">
      <c r="G657" s="4"/>
      <c r="H657" s="4"/>
      <c r="L657" s="4"/>
    </row>
    <row r="658" spans="7:12">
      <c r="G658" s="4"/>
      <c r="H658" s="4"/>
      <c r="L658" s="4"/>
    </row>
    <row r="659" spans="7:12">
      <c r="G659" s="4"/>
      <c r="H659" s="4"/>
      <c r="L659" s="4"/>
    </row>
    <row r="660" spans="7:12">
      <c r="G660" s="4"/>
      <c r="H660" s="4"/>
      <c r="L660" s="4"/>
    </row>
    <row r="661" spans="7:12">
      <c r="G661" s="4"/>
      <c r="H661" s="4"/>
      <c r="L661" s="4"/>
    </row>
    <row r="662" spans="7:12">
      <c r="G662" s="4"/>
      <c r="H662" s="4"/>
      <c r="L662" s="4"/>
    </row>
    <row r="663" spans="7:12">
      <c r="G663" s="4"/>
      <c r="H663" s="4"/>
      <c r="L663" s="4"/>
    </row>
    <row r="664" spans="7:12">
      <c r="G664" s="4"/>
      <c r="H664" s="4"/>
      <c r="L664" s="4"/>
    </row>
    <row r="665" spans="7:12">
      <c r="G665" s="4"/>
      <c r="H665" s="4"/>
      <c r="L665" s="4"/>
    </row>
    <row r="666" spans="7:12">
      <c r="G666" s="4"/>
      <c r="H666" s="4"/>
      <c r="L666" s="4"/>
    </row>
    <row r="667" spans="7:12">
      <c r="G667" s="4"/>
      <c r="H667" s="4"/>
      <c r="L667" s="4"/>
    </row>
    <row r="668" spans="7:12">
      <c r="G668" s="4"/>
      <c r="H668" s="4"/>
      <c r="L668" s="4"/>
    </row>
    <row r="669" spans="7:12">
      <c r="G669" s="4"/>
      <c r="H669" s="4"/>
      <c r="L669" s="4"/>
    </row>
    <row r="670" spans="7:12">
      <c r="G670" s="4"/>
      <c r="H670" s="4"/>
      <c r="L670" s="4"/>
    </row>
    <row r="671" spans="7:12">
      <c r="G671" s="4"/>
      <c r="H671" s="4"/>
      <c r="L671" s="4"/>
    </row>
    <row r="672" spans="7:12">
      <c r="G672" s="4"/>
      <c r="H672" s="4"/>
      <c r="L672" s="4"/>
    </row>
    <row r="673" spans="7:12">
      <c r="G673" s="4"/>
      <c r="H673" s="4"/>
      <c r="L673" s="4"/>
    </row>
    <row r="674" spans="7:12">
      <c r="G674" s="4"/>
      <c r="H674" s="4"/>
      <c r="L674" s="4"/>
    </row>
    <row r="675" spans="7:12">
      <c r="G675" s="4"/>
      <c r="H675" s="4"/>
      <c r="L675" s="4"/>
    </row>
    <row r="676" spans="7:12">
      <c r="G676" s="4"/>
      <c r="H676" s="4"/>
      <c r="L676" s="4"/>
    </row>
    <row r="677" spans="7:12">
      <c r="G677" s="4"/>
      <c r="H677" s="4"/>
      <c r="L677" s="4"/>
    </row>
    <row r="678" spans="7:12">
      <c r="G678" s="4"/>
      <c r="H678" s="4"/>
      <c r="L678" s="4"/>
    </row>
    <row r="679" spans="7:12">
      <c r="G679" s="4"/>
      <c r="H679" s="4"/>
      <c r="L679" s="4"/>
    </row>
    <row r="680" spans="7:12">
      <c r="G680" s="4"/>
      <c r="H680" s="4"/>
      <c r="L680" s="4"/>
    </row>
    <row r="681" spans="7:12">
      <c r="G681" s="4"/>
      <c r="H681" s="4"/>
      <c r="L681" s="4"/>
    </row>
    <row r="682" spans="7:12">
      <c r="G682" s="4"/>
      <c r="H682" s="4"/>
      <c r="L682" s="4"/>
    </row>
    <row r="683" spans="7:12">
      <c r="G683" s="4"/>
      <c r="H683" s="4"/>
      <c r="L683" s="4"/>
    </row>
    <row r="684" spans="7:12">
      <c r="G684" s="4"/>
      <c r="H684" s="4"/>
      <c r="L684" s="4"/>
    </row>
    <row r="685" spans="7:12">
      <c r="G685" s="4"/>
      <c r="H685" s="4"/>
      <c r="L685" s="4"/>
    </row>
    <row r="686" spans="7:12">
      <c r="G686" s="4"/>
      <c r="H686" s="4"/>
      <c r="L686" s="4"/>
    </row>
    <row r="687" spans="7:12">
      <c r="G687" s="4"/>
      <c r="H687" s="4"/>
      <c r="L687" s="4"/>
    </row>
    <row r="688" spans="7:12">
      <c r="G688" s="4"/>
      <c r="H688" s="4"/>
      <c r="L688" s="4"/>
    </row>
    <row r="689" spans="7:12">
      <c r="G689" s="4"/>
      <c r="H689" s="4"/>
      <c r="L689" s="4"/>
    </row>
    <row r="690" spans="7:12">
      <c r="G690" s="4"/>
      <c r="H690" s="4"/>
      <c r="L690" s="4"/>
    </row>
    <row r="691" spans="7:12">
      <c r="G691" s="4"/>
      <c r="H691" s="4"/>
      <c r="L691" s="4"/>
    </row>
    <row r="692" spans="7:12">
      <c r="G692" s="4"/>
      <c r="H692" s="4"/>
      <c r="L692" s="4"/>
    </row>
    <row r="693" spans="7:12">
      <c r="G693" s="4"/>
      <c r="H693" s="4"/>
      <c r="L693" s="4"/>
    </row>
    <row r="694" spans="7:12">
      <c r="G694" s="4"/>
      <c r="H694" s="4"/>
      <c r="L694" s="4"/>
    </row>
    <row r="695" spans="7:12">
      <c r="G695" s="4"/>
      <c r="H695" s="4"/>
      <c r="L695" s="4"/>
    </row>
    <row r="696" spans="7:12">
      <c r="G696" s="4"/>
      <c r="H696" s="4"/>
      <c r="L696" s="4"/>
    </row>
    <row r="697" spans="7:12">
      <c r="G697" s="4"/>
      <c r="H697" s="4"/>
      <c r="L697" s="4"/>
    </row>
    <row r="698" spans="7:12">
      <c r="G698" s="4"/>
      <c r="H698" s="4"/>
      <c r="L698" s="4"/>
    </row>
    <row r="699" spans="7:12">
      <c r="G699" s="4"/>
      <c r="H699" s="4"/>
      <c r="L699" s="4"/>
    </row>
    <row r="700" spans="7:12">
      <c r="G700" s="4"/>
      <c r="H700" s="4"/>
      <c r="L700" s="4"/>
    </row>
    <row r="701" spans="7:12">
      <c r="G701" s="4"/>
      <c r="H701" s="4"/>
      <c r="L701" s="4"/>
    </row>
    <row r="702" spans="7:12">
      <c r="G702" s="4"/>
      <c r="H702" s="4"/>
      <c r="L702" s="4"/>
    </row>
    <row r="703" spans="7:12">
      <c r="G703" s="4"/>
      <c r="H703" s="4"/>
      <c r="L703" s="4"/>
    </row>
    <row r="704" spans="7:12">
      <c r="G704" s="4"/>
      <c r="H704" s="4"/>
      <c r="L704" s="4"/>
    </row>
    <row r="705" spans="7:12">
      <c r="G705" s="4"/>
      <c r="H705" s="4"/>
      <c r="L705" s="4"/>
    </row>
    <row r="706" spans="7:12">
      <c r="G706" s="4"/>
      <c r="H706" s="4"/>
      <c r="L706" s="4"/>
    </row>
    <row r="707" spans="7:12">
      <c r="G707" s="4"/>
      <c r="H707" s="4"/>
      <c r="L707" s="4"/>
    </row>
    <row r="708" spans="7:12">
      <c r="G708" s="4"/>
      <c r="H708" s="4"/>
      <c r="L708" s="4"/>
    </row>
    <row r="709" spans="7:12">
      <c r="G709" s="4"/>
      <c r="H709" s="4"/>
      <c r="L709" s="4"/>
    </row>
    <row r="710" spans="7:12">
      <c r="G710" s="4"/>
      <c r="H710" s="4"/>
      <c r="L710" s="4"/>
    </row>
    <row r="711" spans="7:12">
      <c r="G711" s="4"/>
      <c r="H711" s="4"/>
      <c r="L711" s="4"/>
    </row>
    <row r="712" spans="7:12">
      <c r="G712" s="4"/>
      <c r="H712" s="4"/>
      <c r="L712" s="4"/>
    </row>
    <row r="713" spans="7:12">
      <c r="G713" s="4"/>
      <c r="H713" s="4"/>
      <c r="L713" s="4"/>
    </row>
    <row r="714" spans="7:12">
      <c r="G714" s="4"/>
      <c r="H714" s="4"/>
      <c r="L714" s="4"/>
    </row>
    <row r="715" spans="7:12">
      <c r="G715" s="4"/>
      <c r="H715" s="4"/>
      <c r="L715" s="4"/>
    </row>
    <row r="716" spans="7:12">
      <c r="G716" s="4"/>
      <c r="H716" s="4"/>
      <c r="L716" s="4"/>
    </row>
    <row r="717" spans="7:12">
      <c r="G717" s="4"/>
      <c r="H717" s="4"/>
      <c r="L717" s="4"/>
    </row>
    <row r="718" spans="7:12">
      <c r="G718" s="4"/>
      <c r="H718" s="4"/>
      <c r="L718" s="4"/>
    </row>
    <row r="719" spans="7:12">
      <c r="G719" s="4"/>
      <c r="H719" s="4"/>
      <c r="L719" s="4"/>
    </row>
    <row r="720" spans="7:12">
      <c r="G720" s="4"/>
      <c r="H720" s="4"/>
      <c r="L720" s="4"/>
    </row>
    <row r="721" spans="7:12">
      <c r="G721" s="4"/>
      <c r="H721" s="4"/>
      <c r="L721" s="4"/>
    </row>
    <row r="722" spans="7:12">
      <c r="G722" s="4"/>
      <c r="H722" s="4"/>
      <c r="L722" s="4"/>
    </row>
    <row r="723" spans="7:12">
      <c r="G723" s="4"/>
      <c r="H723" s="4"/>
      <c r="L723" s="4"/>
    </row>
    <row r="724" spans="7:12">
      <c r="G724" s="4"/>
      <c r="H724" s="4"/>
      <c r="L724" s="4"/>
    </row>
    <row r="725" spans="7:12">
      <c r="G725" s="4"/>
      <c r="H725" s="4"/>
      <c r="L725" s="4"/>
    </row>
    <row r="726" spans="7:12">
      <c r="G726" s="4"/>
      <c r="H726" s="4"/>
      <c r="L726" s="4"/>
    </row>
    <row r="727" spans="7:12">
      <c r="G727" s="4"/>
      <c r="H727" s="4"/>
      <c r="L727" s="4"/>
    </row>
    <row r="728" spans="7:12">
      <c r="G728" s="4"/>
      <c r="H728" s="4"/>
      <c r="L728" s="4"/>
    </row>
    <row r="729" spans="7:12">
      <c r="G729" s="4"/>
      <c r="H729" s="4"/>
      <c r="L729" s="4"/>
    </row>
    <row r="730" spans="7:12">
      <c r="G730" s="4"/>
      <c r="H730" s="4"/>
      <c r="L730" s="4"/>
    </row>
    <row r="731" spans="7:12">
      <c r="G731" s="4"/>
      <c r="H731" s="4"/>
      <c r="L731" s="4"/>
    </row>
    <row r="732" spans="7:12">
      <c r="G732" s="4"/>
      <c r="H732" s="4"/>
      <c r="L732" s="4"/>
    </row>
    <row r="733" spans="7:12">
      <c r="G733" s="4"/>
      <c r="H733" s="4"/>
      <c r="L733" s="4"/>
    </row>
    <row r="734" spans="7:12">
      <c r="G734" s="4"/>
      <c r="H734" s="4"/>
      <c r="L734" s="4"/>
    </row>
    <row r="735" spans="7:12">
      <c r="G735" s="4"/>
      <c r="H735" s="4"/>
      <c r="L735" s="4"/>
    </row>
    <row r="736" spans="7:12">
      <c r="G736" s="4"/>
      <c r="H736" s="4"/>
      <c r="L736" s="4"/>
    </row>
    <row r="737" spans="7:12">
      <c r="G737" s="4"/>
      <c r="H737" s="4"/>
      <c r="L737" s="4"/>
    </row>
    <row r="738" spans="7:12">
      <c r="G738" s="4"/>
      <c r="H738" s="4"/>
      <c r="L738" s="4"/>
    </row>
    <row r="739" spans="7:12">
      <c r="G739" s="4"/>
      <c r="H739" s="4"/>
      <c r="L739" s="4"/>
    </row>
    <row r="740" spans="7:12">
      <c r="G740" s="4"/>
      <c r="H740" s="4"/>
      <c r="L740" s="4"/>
    </row>
    <row r="741" spans="7:12">
      <c r="G741" s="4"/>
      <c r="H741" s="4"/>
      <c r="L741" s="4"/>
    </row>
    <row r="742" spans="7:12">
      <c r="G742" s="4"/>
      <c r="H742" s="4"/>
      <c r="L742" s="4"/>
    </row>
    <row r="743" spans="7:12">
      <c r="G743" s="4"/>
      <c r="H743" s="4"/>
      <c r="L743" s="4"/>
    </row>
    <row r="744" spans="7:12">
      <c r="G744" s="4"/>
      <c r="H744" s="4"/>
      <c r="L744" s="4"/>
    </row>
    <row r="745" spans="7:12">
      <c r="G745" s="4"/>
      <c r="H745" s="4"/>
      <c r="L745" s="4"/>
    </row>
    <row r="746" spans="7:12">
      <c r="G746" s="4"/>
      <c r="H746" s="4"/>
      <c r="L746" s="4"/>
    </row>
    <row r="747" spans="7:12">
      <c r="G747" s="4"/>
      <c r="H747" s="4"/>
      <c r="L747" s="4"/>
    </row>
    <row r="748" spans="7:12">
      <c r="G748" s="4"/>
      <c r="H748" s="4"/>
      <c r="L748" s="4"/>
    </row>
    <row r="749" spans="7:12">
      <c r="G749" s="4"/>
      <c r="H749" s="4"/>
      <c r="L749" s="4"/>
    </row>
    <row r="750" spans="7:12">
      <c r="G750" s="4"/>
      <c r="H750" s="4"/>
      <c r="L750" s="4"/>
    </row>
    <row r="751" spans="7:12">
      <c r="G751" s="4"/>
      <c r="H751" s="4"/>
      <c r="L751" s="4"/>
    </row>
    <row r="752" spans="7:12">
      <c r="G752" s="4"/>
      <c r="H752" s="4"/>
      <c r="L752" s="4"/>
    </row>
    <row r="753" spans="7:12">
      <c r="G753" s="4"/>
      <c r="H753" s="4"/>
      <c r="L753" s="4"/>
    </row>
    <row r="754" spans="7:12">
      <c r="G754" s="4"/>
      <c r="H754" s="4"/>
      <c r="L754" s="4"/>
    </row>
    <row r="755" spans="7:12">
      <c r="G755" s="4"/>
      <c r="H755" s="4"/>
      <c r="L755" s="4"/>
    </row>
    <row r="756" spans="7:12">
      <c r="G756" s="4"/>
      <c r="H756" s="4"/>
      <c r="L756" s="4"/>
    </row>
    <row r="757" spans="7:12">
      <c r="G757" s="4"/>
      <c r="H757" s="4"/>
      <c r="L757" s="4"/>
    </row>
    <row r="758" spans="7:12">
      <c r="G758" s="4"/>
      <c r="H758" s="4"/>
      <c r="L758" s="4"/>
    </row>
    <row r="759" spans="7:12">
      <c r="G759" s="4"/>
      <c r="H759" s="4"/>
      <c r="L759" s="4"/>
    </row>
    <row r="760" spans="7:12">
      <c r="G760" s="4"/>
      <c r="H760" s="4"/>
      <c r="L760" s="4"/>
    </row>
    <row r="761" spans="7:12">
      <c r="G761" s="4"/>
      <c r="H761" s="4"/>
      <c r="L761" s="4"/>
    </row>
    <row r="762" spans="7:12">
      <c r="G762" s="4"/>
      <c r="H762" s="4"/>
      <c r="L762" s="4"/>
    </row>
    <row r="763" spans="7:12">
      <c r="G763" s="4"/>
      <c r="H763" s="4"/>
      <c r="L763" s="4"/>
    </row>
    <row r="764" spans="7:12">
      <c r="G764" s="4"/>
      <c r="H764" s="4"/>
      <c r="L764" s="4"/>
    </row>
    <row r="765" spans="7:12">
      <c r="G765" s="4"/>
      <c r="H765" s="4"/>
      <c r="L765" s="4"/>
    </row>
    <row r="766" spans="7:12">
      <c r="G766" s="4"/>
      <c r="H766" s="4"/>
      <c r="L766" s="4"/>
    </row>
    <row r="767" spans="7:12">
      <c r="G767" s="4"/>
      <c r="H767" s="4"/>
      <c r="L767" s="4"/>
    </row>
    <row r="768" spans="7:12">
      <c r="G768" s="4"/>
      <c r="H768" s="4"/>
      <c r="L768" s="4"/>
    </row>
    <row r="769" spans="7:12">
      <c r="G769" s="4"/>
      <c r="H769" s="4"/>
      <c r="L769" s="4"/>
    </row>
    <row r="770" spans="7:12">
      <c r="G770" s="4"/>
      <c r="H770" s="4"/>
      <c r="L770" s="4"/>
    </row>
    <row r="771" spans="7:12">
      <c r="G771" s="4"/>
      <c r="H771" s="4"/>
      <c r="L771" s="4"/>
    </row>
    <row r="772" spans="7:12">
      <c r="G772" s="4"/>
      <c r="H772" s="4"/>
      <c r="L772" s="4"/>
    </row>
    <row r="773" spans="7:12">
      <c r="G773" s="4"/>
      <c r="H773" s="4"/>
      <c r="L773" s="4"/>
    </row>
    <row r="774" spans="7:12">
      <c r="G774" s="4"/>
      <c r="H774" s="4"/>
      <c r="L774" s="4"/>
    </row>
    <row r="775" spans="7:12">
      <c r="G775" s="4"/>
      <c r="H775" s="4"/>
      <c r="L775" s="4"/>
    </row>
    <row r="776" spans="7:12">
      <c r="G776" s="4"/>
      <c r="H776" s="4"/>
      <c r="L776" s="4"/>
    </row>
    <row r="777" spans="7:12">
      <c r="G777" s="4"/>
      <c r="H777" s="4"/>
      <c r="L777" s="4"/>
    </row>
    <row r="778" spans="7:12">
      <c r="G778" s="4"/>
      <c r="H778" s="4"/>
      <c r="L778" s="4"/>
    </row>
    <row r="779" spans="7:12">
      <c r="G779" s="4"/>
      <c r="H779" s="4"/>
      <c r="L779" s="4"/>
    </row>
    <row r="780" spans="7:12">
      <c r="G780" s="4"/>
      <c r="H780" s="4"/>
      <c r="L780" s="4"/>
    </row>
    <row r="781" spans="7:12">
      <c r="G781" s="4"/>
      <c r="H781" s="4"/>
      <c r="L781" s="4"/>
    </row>
    <row r="782" spans="7:12">
      <c r="G782" s="4"/>
      <c r="H782" s="4"/>
      <c r="L782" s="4"/>
    </row>
    <row r="783" spans="7:12">
      <c r="G783" s="4"/>
      <c r="H783" s="4"/>
      <c r="L783" s="4"/>
    </row>
    <row r="784" spans="7:12">
      <c r="G784" s="4"/>
      <c r="H784" s="4"/>
      <c r="L784" s="4"/>
    </row>
    <row r="785" spans="7:12">
      <c r="G785" s="4"/>
      <c r="H785" s="4"/>
      <c r="L785" s="4"/>
    </row>
    <row r="786" spans="7:12">
      <c r="G786" s="4"/>
      <c r="H786" s="4"/>
      <c r="L786" s="4"/>
    </row>
    <row r="787" spans="7:12">
      <c r="G787" s="4"/>
      <c r="H787" s="4"/>
      <c r="L787" s="4"/>
    </row>
    <row r="788" spans="7:12">
      <c r="G788" s="4"/>
      <c r="H788" s="4"/>
      <c r="L788" s="4"/>
    </row>
    <row r="789" spans="7:12">
      <c r="G789" s="4"/>
      <c r="H789" s="4"/>
      <c r="L789" s="4"/>
    </row>
    <row r="790" spans="7:12">
      <c r="G790" s="4"/>
      <c r="H790" s="4"/>
      <c r="L790" s="4"/>
    </row>
    <row r="791" spans="7:12">
      <c r="G791" s="4"/>
      <c r="H791" s="4"/>
      <c r="L791" s="4"/>
    </row>
    <row r="792" spans="7:12">
      <c r="G792" s="4"/>
      <c r="H792" s="4"/>
      <c r="L792" s="4"/>
    </row>
    <row r="793" spans="7:12">
      <c r="G793" s="4"/>
      <c r="H793" s="4"/>
      <c r="L793" s="4"/>
    </row>
    <row r="794" spans="7:12">
      <c r="G794" s="4"/>
      <c r="H794" s="4"/>
      <c r="L794" s="4"/>
    </row>
    <row r="795" spans="7:12">
      <c r="G795" s="4"/>
      <c r="H795" s="4"/>
      <c r="L795" s="4"/>
    </row>
    <row r="796" spans="7:12">
      <c r="G796" s="4"/>
      <c r="H796" s="4"/>
      <c r="L796" s="4"/>
    </row>
    <row r="797" spans="7:12">
      <c r="G797" s="4"/>
      <c r="H797" s="4"/>
      <c r="L797" s="4"/>
    </row>
    <row r="798" spans="7:12">
      <c r="G798" s="4"/>
      <c r="H798" s="4"/>
      <c r="L798" s="4"/>
    </row>
    <row r="799" spans="7:12">
      <c r="G799" s="4"/>
      <c r="H799" s="4"/>
      <c r="L799" s="4"/>
    </row>
    <row r="800" spans="7:12">
      <c r="G800" s="4"/>
      <c r="H800" s="4"/>
      <c r="L800" s="4"/>
    </row>
    <row r="801" spans="7:12">
      <c r="G801" s="4"/>
      <c r="H801" s="4"/>
      <c r="L801" s="4"/>
    </row>
    <row r="802" spans="7:12">
      <c r="G802" s="4"/>
      <c r="H802" s="4"/>
      <c r="L802" s="4"/>
    </row>
    <row r="803" spans="7:12">
      <c r="G803" s="4"/>
      <c r="H803" s="4"/>
      <c r="L803" s="4"/>
    </row>
    <row r="804" spans="7:12">
      <c r="G804" s="4"/>
      <c r="H804" s="4"/>
      <c r="L804" s="4"/>
    </row>
    <row r="805" spans="7:12">
      <c r="G805" s="4"/>
      <c r="H805" s="4"/>
      <c r="L805" s="4"/>
    </row>
    <row r="806" spans="7:12">
      <c r="G806" s="4"/>
      <c r="H806" s="4"/>
      <c r="L806" s="4"/>
    </row>
    <row r="807" spans="7:12">
      <c r="G807" s="4"/>
      <c r="H807" s="4"/>
      <c r="L807" s="4"/>
    </row>
    <row r="808" spans="7:12">
      <c r="G808" s="4"/>
      <c r="H808" s="4"/>
      <c r="L808" s="4"/>
    </row>
    <row r="809" spans="7:12">
      <c r="G809" s="4"/>
      <c r="H809" s="4"/>
      <c r="L809" s="4"/>
    </row>
    <row r="810" spans="7:12">
      <c r="G810" s="4"/>
      <c r="H810" s="4"/>
      <c r="L810" s="4"/>
    </row>
    <row r="811" spans="7:12">
      <c r="G811" s="4"/>
      <c r="H811" s="4"/>
      <c r="L811" s="4"/>
    </row>
    <row r="812" spans="7:12">
      <c r="G812" s="4"/>
      <c r="H812" s="4"/>
      <c r="L812" s="4"/>
    </row>
    <row r="813" spans="7:12">
      <c r="G813" s="4"/>
      <c r="H813" s="4"/>
      <c r="L813" s="4"/>
    </row>
    <row r="814" spans="7:12">
      <c r="G814" s="4"/>
      <c r="H814" s="4"/>
      <c r="L814" s="4"/>
    </row>
    <row r="815" spans="7:12">
      <c r="G815" s="4"/>
      <c r="H815" s="4"/>
      <c r="L815" s="4"/>
    </row>
    <row r="816" spans="7:12">
      <c r="G816" s="4"/>
      <c r="H816" s="4"/>
      <c r="L816" s="4"/>
    </row>
    <row r="817" spans="7:12">
      <c r="G817" s="4"/>
      <c r="H817" s="4"/>
      <c r="L817" s="4"/>
    </row>
    <row r="818" spans="7:12">
      <c r="G818" s="4"/>
      <c r="H818" s="4"/>
      <c r="L818" s="4"/>
    </row>
    <row r="819" spans="7:12">
      <c r="G819" s="4"/>
      <c r="H819" s="4"/>
      <c r="L819" s="4"/>
    </row>
    <row r="820" spans="7:12">
      <c r="G820" s="4"/>
      <c r="H820" s="4"/>
      <c r="L820" s="4"/>
    </row>
    <row r="821" spans="7:12">
      <c r="G821" s="4"/>
      <c r="H821" s="4"/>
      <c r="L821" s="4"/>
    </row>
    <row r="822" spans="7:12">
      <c r="G822" s="4"/>
      <c r="H822" s="4"/>
      <c r="L822" s="4"/>
    </row>
    <row r="823" spans="7:12">
      <c r="G823" s="4"/>
      <c r="H823" s="4"/>
      <c r="L823" s="4"/>
    </row>
    <row r="824" spans="7:12">
      <c r="G824" s="4"/>
      <c r="H824" s="4"/>
      <c r="L824" s="4"/>
    </row>
    <row r="825" spans="7:12">
      <c r="G825" s="4"/>
      <c r="H825" s="4"/>
      <c r="L825" s="4"/>
    </row>
    <row r="826" spans="7:12">
      <c r="G826" s="4"/>
      <c r="H826" s="4"/>
      <c r="L826" s="4"/>
    </row>
    <row r="827" spans="7:12">
      <c r="G827" s="4"/>
      <c r="H827" s="4"/>
      <c r="L827" s="4"/>
    </row>
    <row r="828" spans="7:12">
      <c r="G828" s="4"/>
      <c r="H828" s="4"/>
      <c r="L828" s="4"/>
    </row>
    <row r="829" spans="7:12">
      <c r="G829" s="4"/>
      <c r="H829" s="4"/>
      <c r="L829" s="4"/>
    </row>
    <row r="830" spans="7:12">
      <c r="G830" s="4"/>
      <c r="H830" s="4"/>
      <c r="L830" s="4"/>
    </row>
    <row r="831" spans="7:12">
      <c r="G831" s="4"/>
      <c r="H831" s="4"/>
      <c r="L831" s="4"/>
    </row>
    <row r="832" spans="7:12">
      <c r="G832" s="4"/>
      <c r="H832" s="4"/>
      <c r="L832" s="4"/>
    </row>
    <row r="833" spans="7:12">
      <c r="G833" s="4"/>
      <c r="H833" s="4"/>
      <c r="L833" s="4"/>
    </row>
    <row r="834" spans="7:12">
      <c r="G834" s="4"/>
      <c r="H834" s="4"/>
      <c r="L834" s="4"/>
    </row>
    <row r="835" spans="7:12">
      <c r="G835" s="4"/>
      <c r="H835" s="4"/>
      <c r="L835" s="4"/>
    </row>
    <row r="836" spans="7:12">
      <c r="G836" s="4"/>
      <c r="H836" s="4"/>
      <c r="L836" s="4"/>
    </row>
    <row r="837" spans="7:12">
      <c r="G837" s="4"/>
      <c r="H837" s="4"/>
      <c r="L837" s="4"/>
    </row>
    <row r="838" spans="7:12">
      <c r="G838" s="4"/>
      <c r="H838" s="4"/>
      <c r="L838" s="4"/>
    </row>
    <row r="839" spans="7:12">
      <c r="G839" s="4"/>
      <c r="H839" s="4"/>
      <c r="L839" s="4"/>
    </row>
    <row r="840" spans="7:12">
      <c r="G840" s="4"/>
      <c r="H840" s="4"/>
      <c r="L840" s="4"/>
    </row>
    <row r="841" spans="7:12">
      <c r="G841" s="4"/>
      <c r="H841" s="4"/>
      <c r="L841" s="4"/>
    </row>
    <row r="842" spans="7:12">
      <c r="G842" s="4"/>
      <c r="H842" s="4"/>
      <c r="L842" s="4"/>
    </row>
    <row r="843" spans="7:12">
      <c r="G843" s="4"/>
      <c r="H843" s="4"/>
      <c r="L843" s="4"/>
    </row>
    <row r="844" spans="7:12">
      <c r="G844" s="4"/>
      <c r="H844" s="4"/>
      <c r="L844" s="4"/>
    </row>
    <row r="845" spans="7:12">
      <c r="G845" s="4"/>
      <c r="H845" s="4"/>
      <c r="L845" s="4"/>
    </row>
    <row r="846" spans="7:12">
      <c r="G846" s="4"/>
      <c r="H846" s="4"/>
      <c r="L846" s="4"/>
    </row>
    <row r="847" spans="7:12">
      <c r="G847" s="4"/>
      <c r="H847" s="4"/>
      <c r="L847" s="4"/>
    </row>
    <row r="848" spans="7:12">
      <c r="G848" s="4"/>
      <c r="H848" s="4"/>
      <c r="L848" s="4"/>
    </row>
    <row r="849" spans="7:12">
      <c r="G849" s="4"/>
      <c r="H849" s="4"/>
      <c r="L849" s="4"/>
    </row>
    <row r="850" spans="7:12">
      <c r="G850" s="4"/>
      <c r="H850" s="4"/>
      <c r="L850" s="4"/>
    </row>
    <row r="851" spans="7:12">
      <c r="G851" s="4"/>
      <c r="H851" s="4"/>
      <c r="L851" s="4"/>
    </row>
    <row r="852" spans="7:12">
      <c r="G852" s="4"/>
      <c r="H852" s="4"/>
      <c r="L852" s="4"/>
    </row>
    <row r="853" spans="7:12">
      <c r="G853" s="4"/>
      <c r="H853" s="4"/>
      <c r="L853" s="4"/>
    </row>
    <row r="854" spans="7:12">
      <c r="G854" s="4"/>
      <c r="H854" s="4"/>
      <c r="L854" s="4"/>
    </row>
    <row r="855" spans="7:12">
      <c r="G855" s="4"/>
      <c r="H855" s="4"/>
      <c r="L855" s="4"/>
    </row>
    <row r="856" spans="7:12">
      <c r="G856" s="4"/>
      <c r="H856" s="4"/>
      <c r="L856" s="4"/>
    </row>
    <row r="857" spans="7:12">
      <c r="G857" s="4"/>
      <c r="H857" s="4"/>
      <c r="L857" s="4"/>
    </row>
    <row r="858" spans="7:12">
      <c r="G858" s="4"/>
      <c r="H858" s="4"/>
      <c r="L858" s="4"/>
    </row>
    <row r="859" spans="7:12">
      <c r="G859" s="4"/>
      <c r="H859" s="4"/>
      <c r="L859" s="4"/>
    </row>
    <row r="860" spans="7:12">
      <c r="G860" s="4"/>
      <c r="H860" s="4"/>
      <c r="L860" s="4"/>
    </row>
    <row r="861" spans="7:12">
      <c r="G861" s="4"/>
      <c r="H861" s="4"/>
      <c r="L861" s="4"/>
    </row>
    <row r="862" spans="7:12">
      <c r="G862" s="4"/>
      <c r="H862" s="4"/>
      <c r="L862" s="4"/>
    </row>
    <row r="863" spans="7:12">
      <c r="G863" s="4"/>
      <c r="H863" s="4"/>
      <c r="L863" s="4"/>
    </row>
    <row r="864" spans="7:12">
      <c r="G864" s="4"/>
      <c r="H864" s="4"/>
      <c r="L864" s="4"/>
    </row>
    <row r="865" spans="7:12">
      <c r="G865" s="4"/>
      <c r="H865" s="4"/>
      <c r="L865" s="4"/>
    </row>
    <row r="866" spans="7:12">
      <c r="G866" s="4"/>
      <c r="H866" s="4"/>
      <c r="L866" s="4"/>
    </row>
    <row r="867" spans="7:12">
      <c r="G867" s="4"/>
      <c r="H867" s="4"/>
      <c r="L867" s="4"/>
    </row>
    <row r="868" spans="7:12">
      <c r="G868" s="4"/>
      <c r="H868" s="4"/>
      <c r="L868" s="4"/>
    </row>
    <row r="869" spans="7:12">
      <c r="G869" s="4"/>
      <c r="H869" s="4"/>
      <c r="L869" s="4"/>
    </row>
    <row r="870" spans="7:12">
      <c r="G870" s="4"/>
      <c r="H870" s="4"/>
      <c r="L870" s="4"/>
    </row>
    <row r="871" spans="7:12">
      <c r="G871" s="4"/>
      <c r="H871" s="4"/>
      <c r="L871" s="4"/>
    </row>
    <row r="872" spans="7:12">
      <c r="G872" s="4"/>
      <c r="H872" s="4"/>
      <c r="L872" s="4"/>
    </row>
    <row r="873" spans="7:12">
      <c r="G873" s="4"/>
      <c r="H873" s="4"/>
      <c r="L873" s="4"/>
    </row>
    <row r="874" spans="7:12">
      <c r="G874" s="4"/>
      <c r="H874" s="4"/>
      <c r="L874" s="4"/>
    </row>
    <row r="875" spans="7:12">
      <c r="G875" s="4"/>
      <c r="H875" s="4"/>
      <c r="L875" s="4"/>
    </row>
    <row r="876" spans="7:12">
      <c r="G876" s="4"/>
      <c r="H876" s="4"/>
      <c r="L876" s="4"/>
    </row>
    <row r="877" spans="7:12">
      <c r="G877" s="4"/>
      <c r="H877" s="4"/>
      <c r="L877" s="4"/>
    </row>
    <row r="878" spans="7:12">
      <c r="G878" s="4"/>
      <c r="H878" s="4"/>
      <c r="L878" s="4"/>
    </row>
    <row r="879" spans="7:12">
      <c r="G879" s="4"/>
      <c r="H879" s="4"/>
      <c r="L879" s="4"/>
    </row>
    <row r="880" spans="7:12">
      <c r="G880" s="4"/>
      <c r="H880" s="4"/>
      <c r="L880" s="4"/>
    </row>
    <row r="881" spans="7:12">
      <c r="G881" s="4"/>
      <c r="H881" s="4"/>
      <c r="L881" s="4"/>
    </row>
    <row r="882" spans="7:12">
      <c r="G882" s="4"/>
      <c r="H882" s="4"/>
      <c r="L882" s="4"/>
    </row>
    <row r="883" spans="7:12">
      <c r="G883" s="4"/>
      <c r="H883" s="4"/>
      <c r="L883" s="4"/>
    </row>
    <row r="884" spans="7:12">
      <c r="G884" s="4"/>
      <c r="H884" s="4"/>
      <c r="L884" s="4"/>
    </row>
    <row r="885" spans="7:12">
      <c r="G885" s="4"/>
      <c r="H885" s="4"/>
      <c r="L885" s="4"/>
    </row>
    <row r="886" spans="7:12">
      <c r="G886" s="4"/>
      <c r="H886" s="4"/>
      <c r="L886" s="4"/>
    </row>
    <row r="887" spans="7:12">
      <c r="G887" s="4"/>
      <c r="H887" s="4"/>
      <c r="L887" s="4"/>
    </row>
    <row r="888" spans="7:12">
      <c r="G888" s="4"/>
      <c r="H888" s="4"/>
      <c r="L888" s="4"/>
    </row>
    <row r="889" spans="7:12">
      <c r="G889" s="4"/>
      <c r="H889" s="4"/>
      <c r="L889" s="4"/>
    </row>
    <row r="890" spans="7:12">
      <c r="G890" s="4"/>
      <c r="H890" s="4"/>
      <c r="L890" s="4"/>
    </row>
    <row r="891" spans="7:12">
      <c r="G891" s="4"/>
      <c r="H891" s="4"/>
      <c r="L891" s="4"/>
    </row>
    <row r="892" spans="7:12">
      <c r="G892" s="4"/>
      <c r="H892" s="4"/>
      <c r="L892" s="4"/>
    </row>
    <row r="893" spans="7:12">
      <c r="G893" s="4"/>
      <c r="H893" s="4"/>
      <c r="L893" s="4"/>
    </row>
    <row r="894" spans="7:12">
      <c r="G894" s="4"/>
      <c r="H894" s="4"/>
      <c r="L894" s="4"/>
    </row>
    <row r="895" spans="7:12">
      <c r="G895" s="4"/>
      <c r="H895" s="4"/>
      <c r="L895" s="4"/>
    </row>
    <row r="896" spans="7:12">
      <c r="G896" s="4"/>
      <c r="H896" s="4"/>
      <c r="L896" s="4"/>
    </row>
    <row r="897" spans="7:12">
      <c r="G897" s="4"/>
      <c r="H897" s="4"/>
      <c r="L897" s="4"/>
    </row>
    <row r="898" spans="7:12">
      <c r="G898" s="4"/>
      <c r="H898" s="4"/>
      <c r="L898" s="4"/>
    </row>
    <row r="899" spans="7:12">
      <c r="G899" s="4"/>
      <c r="H899" s="4"/>
      <c r="L899" s="4"/>
    </row>
    <row r="900" spans="7:12">
      <c r="G900" s="4"/>
      <c r="H900" s="4"/>
      <c r="L900" s="4"/>
    </row>
    <row r="901" spans="7:12">
      <c r="G901" s="4"/>
      <c r="H901" s="4"/>
      <c r="L901" s="4"/>
    </row>
    <row r="902" spans="7:12">
      <c r="G902" s="4"/>
      <c r="H902" s="4"/>
      <c r="L902" s="4"/>
    </row>
    <row r="903" spans="7:12">
      <c r="G903" s="4"/>
      <c r="H903" s="4"/>
      <c r="L903" s="4"/>
    </row>
    <row r="904" spans="7:12">
      <c r="G904" s="4"/>
      <c r="H904" s="4"/>
      <c r="L904" s="4"/>
    </row>
    <row r="905" spans="7:12">
      <c r="G905" s="4"/>
      <c r="H905" s="4"/>
      <c r="L905" s="4"/>
    </row>
    <row r="906" spans="7:12">
      <c r="G906" s="4"/>
      <c r="H906" s="4"/>
      <c r="L906" s="4"/>
    </row>
    <row r="907" spans="7:12">
      <c r="G907" s="4"/>
      <c r="H907" s="4"/>
      <c r="L907" s="4"/>
    </row>
    <row r="908" spans="7:12">
      <c r="G908" s="4"/>
      <c r="H908" s="4"/>
      <c r="L908" s="4"/>
    </row>
    <row r="909" spans="7:12">
      <c r="G909" s="4"/>
      <c r="H909" s="4"/>
      <c r="L909" s="4"/>
    </row>
    <row r="910" spans="7:12">
      <c r="G910" s="4"/>
      <c r="H910" s="4"/>
      <c r="L910" s="4"/>
    </row>
    <row r="911" spans="7:12">
      <c r="G911" s="4"/>
      <c r="H911" s="4"/>
      <c r="L911" s="4"/>
    </row>
    <row r="912" spans="7:12">
      <c r="G912" s="4"/>
      <c r="H912" s="4"/>
      <c r="L912" s="4"/>
    </row>
    <row r="913" spans="7:12">
      <c r="G913" s="4"/>
      <c r="H913" s="4"/>
      <c r="L913" s="4"/>
    </row>
    <row r="914" spans="7:12">
      <c r="G914" s="4"/>
      <c r="H914" s="4"/>
      <c r="L914" s="4"/>
    </row>
    <row r="915" spans="7:12">
      <c r="G915" s="4"/>
      <c r="H915" s="4"/>
      <c r="L915" s="4"/>
    </row>
    <row r="916" spans="7:12">
      <c r="G916" s="4"/>
      <c r="H916" s="4"/>
      <c r="L916" s="4"/>
    </row>
    <row r="917" spans="7:12">
      <c r="G917" s="4"/>
      <c r="H917" s="4"/>
      <c r="L917" s="4"/>
    </row>
    <row r="918" spans="7:12">
      <c r="G918" s="4"/>
      <c r="H918" s="4"/>
      <c r="L918" s="4"/>
    </row>
    <row r="919" spans="7:12">
      <c r="G919" s="4"/>
      <c r="H919" s="4"/>
      <c r="L919" s="4"/>
    </row>
    <row r="920" spans="7:12">
      <c r="G920" s="4"/>
      <c r="H920" s="4"/>
      <c r="L920" s="4"/>
    </row>
    <row r="921" spans="7:12">
      <c r="G921" s="4"/>
      <c r="H921" s="4"/>
      <c r="L921" s="4"/>
    </row>
    <row r="922" spans="7:12">
      <c r="G922" s="4"/>
      <c r="H922" s="4"/>
      <c r="L922" s="4"/>
    </row>
    <row r="923" spans="7:12">
      <c r="G923" s="4"/>
      <c r="H923" s="4"/>
      <c r="L923" s="4"/>
    </row>
    <row r="924" spans="7:12">
      <c r="G924" s="4"/>
      <c r="H924" s="4"/>
      <c r="L924" s="4"/>
    </row>
    <row r="925" spans="7:12">
      <c r="G925" s="4"/>
      <c r="H925" s="4"/>
      <c r="L925" s="4"/>
    </row>
    <row r="926" spans="7:12">
      <c r="G926" s="4"/>
      <c r="H926" s="4"/>
      <c r="L926" s="4"/>
    </row>
    <row r="927" spans="7:12">
      <c r="G927" s="4"/>
      <c r="H927" s="4"/>
      <c r="L927" s="4"/>
    </row>
    <row r="928" spans="7:12">
      <c r="G928" s="4"/>
      <c r="H928" s="4"/>
      <c r="L928" s="4"/>
    </row>
    <row r="929" spans="7:12">
      <c r="G929" s="4"/>
      <c r="H929" s="4"/>
      <c r="L929" s="4"/>
    </row>
    <row r="930" spans="7:12">
      <c r="G930" s="4"/>
      <c r="H930" s="4"/>
      <c r="L930" s="4"/>
    </row>
    <row r="931" spans="7:12">
      <c r="G931" s="4"/>
      <c r="H931" s="4"/>
      <c r="L931" s="4"/>
    </row>
    <row r="932" spans="7:12">
      <c r="G932" s="4"/>
      <c r="H932" s="4"/>
      <c r="L932" s="4"/>
    </row>
    <row r="933" spans="7:12">
      <c r="G933" s="4"/>
      <c r="H933" s="4"/>
      <c r="L933" s="4"/>
    </row>
    <row r="934" spans="7:12">
      <c r="G934" s="4"/>
      <c r="H934" s="4"/>
      <c r="L934" s="4"/>
    </row>
    <row r="935" spans="7:12">
      <c r="G935" s="4"/>
      <c r="H935" s="4"/>
      <c r="L935" s="4"/>
    </row>
    <row r="936" spans="7:12">
      <c r="G936" s="4"/>
      <c r="H936" s="4"/>
      <c r="L936" s="4"/>
    </row>
    <row r="937" spans="7:12">
      <c r="G937" s="4"/>
      <c r="H937" s="4"/>
      <c r="L937" s="4"/>
    </row>
    <row r="938" spans="7:12">
      <c r="G938" s="4"/>
      <c r="H938" s="4"/>
      <c r="L938" s="4"/>
    </row>
    <row r="939" spans="7:12">
      <c r="G939" s="4"/>
      <c r="H939" s="4"/>
      <c r="L939" s="4"/>
    </row>
    <row r="940" spans="7:12">
      <c r="G940" s="4"/>
      <c r="H940" s="4"/>
      <c r="L940" s="4"/>
    </row>
    <row r="941" spans="7:12">
      <c r="G941" s="4"/>
      <c r="H941" s="4"/>
      <c r="L941" s="4"/>
    </row>
    <row r="942" spans="7:12">
      <c r="G942" s="4"/>
      <c r="H942" s="4"/>
      <c r="L942" s="4"/>
    </row>
    <row r="943" spans="7:12">
      <c r="G943" s="4"/>
      <c r="H943" s="4"/>
      <c r="L943" s="4"/>
    </row>
    <row r="944" spans="7:12">
      <c r="G944" s="4"/>
      <c r="H944" s="4"/>
      <c r="L944" s="4"/>
    </row>
    <row r="945" spans="7:12">
      <c r="G945" s="4"/>
      <c r="H945" s="4"/>
      <c r="L945" s="4"/>
    </row>
    <row r="946" spans="7:12">
      <c r="G946" s="4"/>
      <c r="H946" s="4"/>
      <c r="L946" s="4"/>
    </row>
    <row r="947" spans="7:12">
      <c r="G947" s="4"/>
      <c r="H947" s="4"/>
      <c r="L947" s="4"/>
    </row>
    <row r="948" spans="7:12">
      <c r="G948" s="4"/>
      <c r="H948" s="4"/>
      <c r="L948" s="4"/>
    </row>
    <row r="949" spans="7:12">
      <c r="G949" s="4"/>
      <c r="H949" s="4"/>
      <c r="L949" s="4"/>
    </row>
    <row r="950" spans="7:12">
      <c r="G950" s="4"/>
      <c r="H950" s="4"/>
      <c r="L950" s="4"/>
    </row>
    <row r="951" spans="7:12">
      <c r="G951" s="4"/>
      <c r="H951" s="4"/>
      <c r="L951" s="4"/>
    </row>
    <row r="952" spans="7:12">
      <c r="G952" s="4"/>
      <c r="H952" s="4"/>
      <c r="L952" s="4"/>
    </row>
    <row r="953" spans="7:12">
      <c r="G953" s="4"/>
      <c r="H953" s="4"/>
      <c r="L953" s="4"/>
    </row>
    <row r="954" spans="7:12">
      <c r="G954" s="4"/>
      <c r="H954" s="4"/>
      <c r="L954" s="4"/>
    </row>
    <row r="955" spans="7:12">
      <c r="G955" s="4"/>
      <c r="H955" s="4"/>
      <c r="L955" s="4"/>
    </row>
    <row r="956" spans="7:12">
      <c r="G956" s="4"/>
      <c r="H956" s="4"/>
      <c r="L956" s="4"/>
    </row>
    <row r="957" spans="7:12">
      <c r="G957" s="4"/>
      <c r="H957" s="4"/>
      <c r="L957" s="4"/>
    </row>
    <row r="958" spans="7:12">
      <c r="G958" s="4"/>
      <c r="H958" s="4"/>
      <c r="L958" s="4"/>
    </row>
    <row r="959" spans="7:12">
      <c r="G959" s="4"/>
      <c r="H959" s="4"/>
      <c r="L959" s="4"/>
    </row>
    <row r="960" spans="7:12">
      <c r="G960" s="4"/>
      <c r="H960" s="4"/>
      <c r="L960" s="4"/>
    </row>
    <row r="961" spans="7:12">
      <c r="G961" s="4"/>
      <c r="H961" s="4"/>
      <c r="L961" s="4"/>
    </row>
    <row r="962" spans="7:12">
      <c r="G962" s="4"/>
      <c r="H962" s="4"/>
      <c r="L962" s="4"/>
    </row>
    <row r="963" spans="7:12">
      <c r="G963" s="4"/>
      <c r="H963" s="4"/>
      <c r="L963" s="4"/>
    </row>
    <row r="964" spans="7:12">
      <c r="G964" s="4"/>
      <c r="H964" s="4"/>
      <c r="L964" s="4"/>
    </row>
    <row r="965" spans="7:12">
      <c r="G965" s="4"/>
      <c r="H965" s="4"/>
      <c r="L965" s="4"/>
    </row>
    <row r="966" spans="7:12">
      <c r="G966" s="4"/>
      <c r="H966" s="4"/>
      <c r="L966" s="4"/>
    </row>
    <row r="967" spans="7:12">
      <c r="G967" s="4"/>
      <c r="H967" s="4"/>
      <c r="L967" s="4"/>
    </row>
    <row r="968" spans="7:12">
      <c r="G968" s="4"/>
      <c r="H968" s="4"/>
      <c r="L968" s="4"/>
    </row>
    <row r="969" spans="7:12">
      <c r="G969" s="4"/>
      <c r="H969" s="4"/>
      <c r="L969" s="4"/>
    </row>
    <row r="970" spans="7:12">
      <c r="G970" s="4"/>
      <c r="H970" s="4"/>
      <c r="L970" s="4"/>
    </row>
    <row r="971" spans="7:12">
      <c r="G971" s="4"/>
      <c r="H971" s="4"/>
      <c r="L971" s="4"/>
    </row>
    <row r="972" spans="7:12">
      <c r="G972" s="4"/>
      <c r="H972" s="4"/>
      <c r="L972" s="4"/>
    </row>
    <row r="973" spans="7:12">
      <c r="G973" s="4"/>
      <c r="H973" s="4"/>
      <c r="L973" s="4"/>
    </row>
    <row r="974" spans="7:12">
      <c r="G974" s="4"/>
      <c r="H974" s="4"/>
      <c r="L974" s="4"/>
    </row>
    <row r="975" spans="7:12">
      <c r="G975" s="4"/>
      <c r="H975" s="4"/>
      <c r="L975" s="4"/>
    </row>
    <row r="976" spans="7:12">
      <c r="G976" s="4"/>
      <c r="H976" s="4"/>
      <c r="L976" s="4"/>
    </row>
    <row r="977" spans="7:12">
      <c r="G977" s="4"/>
      <c r="H977" s="4"/>
      <c r="L977" s="4"/>
    </row>
    <row r="978" spans="7:12">
      <c r="G978" s="4"/>
      <c r="H978" s="4"/>
      <c r="L978" s="4"/>
    </row>
    <row r="979" spans="7:12">
      <c r="G979" s="4"/>
      <c r="H979" s="4"/>
      <c r="L979" s="4"/>
    </row>
    <row r="980" spans="7:12">
      <c r="G980" s="4"/>
      <c r="H980" s="4"/>
      <c r="L980" s="4"/>
    </row>
    <row r="981" spans="7:12">
      <c r="G981" s="4"/>
      <c r="H981" s="4"/>
      <c r="L981" s="4"/>
    </row>
    <row r="982" spans="7:12">
      <c r="G982" s="4"/>
      <c r="H982" s="4"/>
      <c r="L982" s="4"/>
    </row>
    <row r="983" spans="7:12">
      <c r="G983" s="4"/>
      <c r="H983" s="4"/>
      <c r="L983" s="4"/>
    </row>
    <row r="984" spans="7:12">
      <c r="G984" s="4"/>
      <c r="H984" s="4"/>
      <c r="L984" s="4"/>
    </row>
    <row r="985" spans="7:12">
      <c r="G985" s="4"/>
      <c r="H985" s="4"/>
      <c r="L985" s="4"/>
    </row>
    <row r="986" spans="7:12">
      <c r="G986" s="4"/>
      <c r="H986" s="4"/>
      <c r="L986" s="4"/>
    </row>
    <row r="987" spans="7:12">
      <c r="G987" s="4"/>
      <c r="H987" s="4"/>
      <c r="L987" s="4"/>
    </row>
    <row r="988" spans="7:12">
      <c r="G988" s="4"/>
      <c r="H988" s="4"/>
      <c r="L988" s="4"/>
    </row>
    <row r="989" spans="7:12">
      <c r="G989" s="4"/>
      <c r="H989" s="4"/>
      <c r="L989" s="4"/>
    </row>
    <row r="990" spans="7:12">
      <c r="G990" s="4"/>
      <c r="H990" s="4"/>
      <c r="L990" s="4"/>
    </row>
    <row r="991" spans="7:12">
      <c r="G991" s="4"/>
      <c r="H991" s="4"/>
      <c r="L991" s="4"/>
    </row>
    <row r="992" spans="7:12">
      <c r="G992" s="4"/>
      <c r="H992" s="4"/>
      <c r="L992" s="4"/>
    </row>
    <row r="993" spans="7:12">
      <c r="G993" s="4"/>
      <c r="H993" s="4"/>
      <c r="L993" s="4"/>
    </row>
    <row r="994" spans="7:12">
      <c r="G994" s="4"/>
      <c r="H994" s="4"/>
      <c r="L994" s="4"/>
    </row>
    <row r="995" spans="7:12">
      <c r="G995" s="4"/>
      <c r="H995" s="4"/>
      <c r="L995" s="4"/>
    </row>
  </sheetData>
  <mergeCells count="37">
    <mergeCell ref="A1:A2"/>
    <mergeCell ref="C1:H1"/>
    <mergeCell ref="I1:L1"/>
    <mergeCell ref="M1:O1"/>
    <mergeCell ref="P1:Q1"/>
    <mergeCell ref="A16:A17"/>
    <mergeCell ref="C16:H16"/>
    <mergeCell ref="P16:Q16"/>
    <mergeCell ref="I16:L16"/>
    <mergeCell ref="M16:O16"/>
    <mergeCell ref="A32:A33"/>
    <mergeCell ref="C32:H32"/>
    <mergeCell ref="I32:L32"/>
    <mergeCell ref="M32:O32"/>
    <mergeCell ref="P32:Q32"/>
    <mergeCell ref="A48:A49"/>
    <mergeCell ref="C48:H48"/>
    <mergeCell ref="I48:L48"/>
    <mergeCell ref="M48:O48"/>
    <mergeCell ref="P48:Q48"/>
    <mergeCell ref="P64:Q64"/>
    <mergeCell ref="A96:A97"/>
    <mergeCell ref="C96:H96"/>
    <mergeCell ref="I96:L96"/>
    <mergeCell ref="M96:O96"/>
    <mergeCell ref="P96:Q96"/>
    <mergeCell ref="P80:Q80"/>
    <mergeCell ref="C112:H112"/>
    <mergeCell ref="J112:M112"/>
    <mergeCell ref="I64:L64"/>
    <mergeCell ref="M64:O64"/>
    <mergeCell ref="A80:A81"/>
    <mergeCell ref="C80:H80"/>
    <mergeCell ref="I80:L80"/>
    <mergeCell ref="M80:O80"/>
    <mergeCell ref="A64:A65"/>
    <mergeCell ref="C64:H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7"/>
  <sheetViews>
    <sheetView workbookViewId="0"/>
  </sheetViews>
  <sheetFormatPr defaultColWidth="14.42578125" defaultRowHeight="15" customHeight="1"/>
  <cols>
    <col min="3" max="3" width="14" customWidth="1"/>
  </cols>
  <sheetData>
    <row r="1" spans="1:15">
      <c r="A1" s="40"/>
      <c r="B1" s="77" t="s">
        <v>1</v>
      </c>
      <c r="C1" s="71"/>
      <c r="D1" s="71"/>
      <c r="E1" s="71"/>
      <c r="F1" s="71"/>
      <c r="G1" s="72"/>
      <c r="H1" s="77" t="s">
        <v>41</v>
      </c>
      <c r="I1" s="71"/>
      <c r="J1" s="72"/>
      <c r="K1" s="77" t="s">
        <v>42</v>
      </c>
      <c r="L1" s="71"/>
      <c r="M1" s="72"/>
    </row>
    <row r="2" spans="1:15">
      <c r="A2" s="41" t="s">
        <v>0</v>
      </c>
      <c r="B2" s="41" t="s">
        <v>7</v>
      </c>
      <c r="C2" s="41" t="s">
        <v>43</v>
      </c>
      <c r="D2" s="41" t="s">
        <v>44</v>
      </c>
      <c r="E2" s="41" t="s">
        <v>45</v>
      </c>
      <c r="F2" s="41" t="s">
        <v>46</v>
      </c>
      <c r="G2" s="41" t="s">
        <v>47</v>
      </c>
      <c r="H2" s="42" t="s">
        <v>48</v>
      </c>
      <c r="I2" s="42" t="s">
        <v>49</v>
      </c>
      <c r="J2" s="42" t="s">
        <v>45</v>
      </c>
      <c r="K2" s="42" t="s">
        <v>50</v>
      </c>
      <c r="L2" s="42" t="s">
        <v>51</v>
      </c>
      <c r="M2" s="42" t="s">
        <v>52</v>
      </c>
      <c r="N2" s="43" t="s">
        <v>53</v>
      </c>
      <c r="O2" s="41" t="s">
        <v>5</v>
      </c>
    </row>
    <row r="3" spans="1:15">
      <c r="A3" s="44" t="s">
        <v>15</v>
      </c>
      <c r="B3" s="45">
        <v>78</v>
      </c>
      <c r="C3" s="46">
        <f t="shared" ref="C3:C13" si="0">N3-B3</f>
        <v>12</v>
      </c>
      <c r="D3" s="47">
        <f t="shared" ref="D3:D13" si="1">O3-B3</f>
        <v>17</v>
      </c>
      <c r="E3" s="48">
        <f t="shared" ref="E3:E14" si="2">B3/(B3+C3)</f>
        <v>0.8666666666666667</v>
      </c>
      <c r="F3" s="48">
        <f t="shared" ref="F3:F14" si="3">B3/(D3+B3)</f>
        <v>0.82105263157894737</v>
      </c>
      <c r="G3" s="48">
        <f t="shared" ref="G3:G14" si="4">2*F3*E3 / (E3+F3)</f>
        <v>0.84324324324324329</v>
      </c>
      <c r="H3" s="49">
        <v>79</v>
      </c>
      <c r="I3" s="45">
        <v>78</v>
      </c>
      <c r="J3" s="48">
        <f t="shared" ref="J3:J14" si="5">I3/H3</f>
        <v>0.98734177215189878</v>
      </c>
      <c r="K3" s="45">
        <v>77</v>
      </c>
      <c r="L3" s="45">
        <v>0</v>
      </c>
      <c r="M3" s="45">
        <v>1</v>
      </c>
      <c r="N3" s="49">
        <v>90</v>
      </c>
      <c r="O3" s="50">
        <v>95</v>
      </c>
    </row>
    <row r="4" spans="1:15">
      <c r="A4" s="44" t="s">
        <v>17</v>
      </c>
      <c r="B4" s="45">
        <v>127</v>
      </c>
      <c r="C4" s="46">
        <f t="shared" si="0"/>
        <v>8</v>
      </c>
      <c r="D4" s="47">
        <f t="shared" si="1"/>
        <v>27</v>
      </c>
      <c r="E4" s="48">
        <f t="shared" si="2"/>
        <v>0.94074074074074077</v>
      </c>
      <c r="F4" s="48">
        <f t="shared" si="3"/>
        <v>0.82467532467532467</v>
      </c>
      <c r="G4" s="48">
        <f t="shared" si="4"/>
        <v>0.87889273356401376</v>
      </c>
      <c r="H4" s="49">
        <v>127</v>
      </c>
      <c r="I4" s="45">
        <v>127</v>
      </c>
      <c r="J4" s="48">
        <f t="shared" si="5"/>
        <v>1</v>
      </c>
      <c r="K4" s="45">
        <v>127</v>
      </c>
      <c r="L4" s="45">
        <v>0</v>
      </c>
      <c r="M4" s="45">
        <v>0</v>
      </c>
      <c r="N4" s="49">
        <v>135</v>
      </c>
      <c r="O4" s="50">
        <v>154</v>
      </c>
    </row>
    <row r="5" spans="1:15">
      <c r="A5" s="44" t="s">
        <v>19</v>
      </c>
      <c r="B5" s="45">
        <v>23</v>
      </c>
      <c r="C5" s="46">
        <f t="shared" si="0"/>
        <v>15</v>
      </c>
      <c r="D5" s="47">
        <f t="shared" si="1"/>
        <v>22</v>
      </c>
      <c r="E5" s="48">
        <f t="shared" si="2"/>
        <v>0.60526315789473684</v>
      </c>
      <c r="F5" s="48">
        <f t="shared" si="3"/>
        <v>0.51111111111111107</v>
      </c>
      <c r="G5" s="48">
        <f t="shared" si="4"/>
        <v>0.55421686746987964</v>
      </c>
      <c r="H5" s="49">
        <v>29</v>
      </c>
      <c r="I5" s="45">
        <v>23</v>
      </c>
      <c r="J5" s="48">
        <f t="shared" si="5"/>
        <v>0.7931034482758621</v>
      </c>
      <c r="K5" s="45">
        <v>16</v>
      </c>
      <c r="L5" s="45">
        <v>2</v>
      </c>
      <c r="M5" s="45">
        <v>5</v>
      </c>
      <c r="N5" s="49">
        <v>38</v>
      </c>
      <c r="O5" s="50">
        <v>45</v>
      </c>
    </row>
    <row r="6" spans="1:15">
      <c r="A6" s="44" t="s">
        <v>21</v>
      </c>
      <c r="B6" s="45">
        <v>21</v>
      </c>
      <c r="C6" s="46">
        <f t="shared" si="0"/>
        <v>9</v>
      </c>
      <c r="D6" s="47">
        <f t="shared" si="1"/>
        <v>18</v>
      </c>
      <c r="E6" s="48">
        <f t="shared" si="2"/>
        <v>0.7</v>
      </c>
      <c r="F6" s="48">
        <f t="shared" si="3"/>
        <v>0.53846153846153844</v>
      </c>
      <c r="G6" s="48">
        <f t="shared" si="4"/>
        <v>0.60869565217391297</v>
      </c>
      <c r="H6" s="49">
        <v>26</v>
      </c>
      <c r="I6" s="45">
        <v>21</v>
      </c>
      <c r="J6" s="48">
        <f t="shared" si="5"/>
        <v>0.80769230769230771</v>
      </c>
      <c r="K6" s="45">
        <v>13</v>
      </c>
      <c r="L6" s="45">
        <v>0</v>
      </c>
      <c r="M6" s="45">
        <v>8</v>
      </c>
      <c r="N6" s="49">
        <v>30</v>
      </c>
      <c r="O6" s="50">
        <v>39</v>
      </c>
    </row>
    <row r="7" spans="1:15">
      <c r="A7" s="44" t="s">
        <v>23</v>
      </c>
      <c r="B7" s="45">
        <v>12</v>
      </c>
      <c r="C7" s="46">
        <f t="shared" si="0"/>
        <v>0</v>
      </c>
      <c r="D7" s="47">
        <f t="shared" si="1"/>
        <v>3</v>
      </c>
      <c r="E7" s="48">
        <f t="shared" si="2"/>
        <v>1</v>
      </c>
      <c r="F7" s="48">
        <f t="shared" si="3"/>
        <v>0.8</v>
      </c>
      <c r="G7" s="48">
        <f t="shared" si="4"/>
        <v>0.88888888888888895</v>
      </c>
      <c r="H7" s="49">
        <v>12</v>
      </c>
      <c r="I7" s="45">
        <v>12</v>
      </c>
      <c r="J7" s="48">
        <f t="shared" si="5"/>
        <v>1</v>
      </c>
      <c r="K7" s="45">
        <v>8</v>
      </c>
      <c r="L7" s="45">
        <v>4</v>
      </c>
      <c r="M7" s="45">
        <v>0</v>
      </c>
      <c r="N7" s="49">
        <v>12</v>
      </c>
      <c r="O7" s="50">
        <v>15</v>
      </c>
    </row>
    <row r="8" spans="1:15">
      <c r="A8" s="44" t="s">
        <v>25</v>
      </c>
      <c r="B8" s="45">
        <v>5</v>
      </c>
      <c r="C8" s="46">
        <f t="shared" si="0"/>
        <v>2</v>
      </c>
      <c r="D8" s="47">
        <f t="shared" si="1"/>
        <v>1</v>
      </c>
      <c r="E8" s="48">
        <f t="shared" si="2"/>
        <v>0.7142857142857143</v>
      </c>
      <c r="F8" s="48">
        <f t="shared" si="3"/>
        <v>0.83333333333333337</v>
      </c>
      <c r="G8" s="48">
        <f t="shared" si="4"/>
        <v>0.76923076923076916</v>
      </c>
      <c r="H8" s="49">
        <v>6</v>
      </c>
      <c r="I8" s="45">
        <v>5</v>
      </c>
      <c r="J8" s="48">
        <f t="shared" si="5"/>
        <v>0.83333333333333337</v>
      </c>
      <c r="K8" s="45">
        <v>5</v>
      </c>
      <c r="L8" s="45">
        <v>0</v>
      </c>
      <c r="M8" s="45">
        <v>0</v>
      </c>
      <c r="N8" s="49">
        <v>7</v>
      </c>
      <c r="O8" s="50">
        <v>6</v>
      </c>
    </row>
    <row r="9" spans="1:15">
      <c r="A9" s="44" t="s">
        <v>27</v>
      </c>
      <c r="B9" s="45">
        <v>17</v>
      </c>
      <c r="C9" s="46">
        <f t="shared" si="0"/>
        <v>7</v>
      </c>
      <c r="D9" s="47">
        <f t="shared" si="1"/>
        <v>8</v>
      </c>
      <c r="E9" s="48">
        <f t="shared" si="2"/>
        <v>0.70833333333333337</v>
      </c>
      <c r="F9" s="48">
        <f t="shared" si="3"/>
        <v>0.68</v>
      </c>
      <c r="G9" s="48">
        <f t="shared" si="4"/>
        <v>0.69387755102040827</v>
      </c>
      <c r="H9" s="49">
        <v>19</v>
      </c>
      <c r="I9" s="45">
        <v>17</v>
      </c>
      <c r="J9" s="48">
        <f t="shared" si="5"/>
        <v>0.89473684210526316</v>
      </c>
      <c r="K9" s="45">
        <v>15</v>
      </c>
      <c r="L9" s="45">
        <v>0</v>
      </c>
      <c r="M9" s="45">
        <v>2</v>
      </c>
      <c r="N9" s="49">
        <v>24</v>
      </c>
      <c r="O9" s="50">
        <v>25</v>
      </c>
    </row>
    <row r="10" spans="1:15">
      <c r="A10" s="44" t="s">
        <v>29</v>
      </c>
      <c r="B10" s="45">
        <v>19</v>
      </c>
      <c r="C10" s="46">
        <f t="shared" si="0"/>
        <v>0</v>
      </c>
      <c r="D10" s="47">
        <f t="shared" si="1"/>
        <v>6</v>
      </c>
      <c r="E10" s="48">
        <f t="shared" si="2"/>
        <v>1</v>
      </c>
      <c r="F10" s="48">
        <f t="shared" si="3"/>
        <v>0.76</v>
      </c>
      <c r="G10" s="48">
        <f t="shared" si="4"/>
        <v>0.86363636363636365</v>
      </c>
      <c r="H10" s="49">
        <v>19</v>
      </c>
      <c r="I10" s="45">
        <v>19</v>
      </c>
      <c r="J10" s="48">
        <f t="shared" si="5"/>
        <v>1</v>
      </c>
      <c r="K10" s="45">
        <v>10</v>
      </c>
      <c r="L10" s="45">
        <v>0</v>
      </c>
      <c r="M10" s="45">
        <v>9</v>
      </c>
      <c r="N10" s="49">
        <v>19</v>
      </c>
      <c r="O10" s="50">
        <v>25</v>
      </c>
    </row>
    <row r="11" spans="1:15">
      <c r="A11" s="44" t="s">
        <v>31</v>
      </c>
      <c r="B11" s="45">
        <v>15</v>
      </c>
      <c r="C11" s="46">
        <f t="shared" si="0"/>
        <v>3</v>
      </c>
      <c r="D11" s="47">
        <f t="shared" si="1"/>
        <v>2</v>
      </c>
      <c r="E11" s="48">
        <f t="shared" si="2"/>
        <v>0.83333333333333337</v>
      </c>
      <c r="F11" s="48">
        <f t="shared" si="3"/>
        <v>0.88235294117647056</v>
      </c>
      <c r="G11" s="48">
        <f t="shared" si="4"/>
        <v>0.8571428571428571</v>
      </c>
      <c r="H11" s="49">
        <v>16</v>
      </c>
      <c r="I11" s="45">
        <v>15</v>
      </c>
      <c r="J11" s="48">
        <f t="shared" si="5"/>
        <v>0.9375</v>
      </c>
      <c r="K11" s="45">
        <v>8</v>
      </c>
      <c r="L11" s="45">
        <v>1</v>
      </c>
      <c r="M11" s="45">
        <v>6</v>
      </c>
      <c r="N11" s="49">
        <v>18</v>
      </c>
      <c r="O11" s="50">
        <v>17</v>
      </c>
    </row>
    <row r="12" spans="1:15">
      <c r="A12" s="44" t="s">
        <v>33</v>
      </c>
      <c r="B12" s="45">
        <v>4</v>
      </c>
      <c r="C12" s="46">
        <f t="shared" si="0"/>
        <v>1</v>
      </c>
      <c r="D12" s="47">
        <f t="shared" si="1"/>
        <v>0</v>
      </c>
      <c r="E12" s="48">
        <f t="shared" si="2"/>
        <v>0.8</v>
      </c>
      <c r="F12" s="48">
        <f t="shared" si="3"/>
        <v>1</v>
      </c>
      <c r="G12" s="48">
        <f t="shared" si="4"/>
        <v>0.88888888888888895</v>
      </c>
      <c r="H12" s="49">
        <v>4</v>
      </c>
      <c r="I12" s="45">
        <v>4</v>
      </c>
      <c r="J12" s="48">
        <f t="shared" si="5"/>
        <v>1</v>
      </c>
      <c r="K12" s="45">
        <v>3</v>
      </c>
      <c r="L12" s="45">
        <v>1</v>
      </c>
      <c r="M12" s="45">
        <v>0</v>
      </c>
      <c r="N12" s="49">
        <v>5</v>
      </c>
      <c r="O12" s="50">
        <v>4</v>
      </c>
    </row>
    <row r="13" spans="1:15">
      <c r="A13" s="44" t="s">
        <v>35</v>
      </c>
      <c r="B13" s="45">
        <v>122</v>
      </c>
      <c r="C13" s="46">
        <f t="shared" si="0"/>
        <v>13</v>
      </c>
      <c r="D13" s="47">
        <f t="shared" si="1"/>
        <v>31</v>
      </c>
      <c r="E13" s="48">
        <f t="shared" si="2"/>
        <v>0.90370370370370368</v>
      </c>
      <c r="F13" s="48">
        <f t="shared" si="3"/>
        <v>0.79738562091503273</v>
      </c>
      <c r="G13" s="48">
        <f t="shared" si="4"/>
        <v>0.84722222222222221</v>
      </c>
      <c r="H13" s="49">
        <v>124</v>
      </c>
      <c r="I13" s="45">
        <v>122</v>
      </c>
      <c r="J13" s="48">
        <f t="shared" si="5"/>
        <v>0.9838709677419355</v>
      </c>
      <c r="K13" s="45">
        <v>79</v>
      </c>
      <c r="L13" s="45">
        <v>1</v>
      </c>
      <c r="M13" s="45">
        <v>42</v>
      </c>
      <c r="N13" s="49">
        <v>135</v>
      </c>
      <c r="O13" s="50">
        <v>153</v>
      </c>
    </row>
    <row r="14" spans="1:15">
      <c r="A14" s="44" t="s">
        <v>37</v>
      </c>
      <c r="B14" s="51">
        <f t="shared" ref="B14:D14" si="6">SUM(B3:B13)</f>
        <v>443</v>
      </c>
      <c r="C14" s="51">
        <f t="shared" si="6"/>
        <v>70</v>
      </c>
      <c r="D14" s="51">
        <f t="shared" si="6"/>
        <v>135</v>
      </c>
      <c r="E14" s="48">
        <f t="shared" si="2"/>
        <v>0.8635477582846004</v>
      </c>
      <c r="F14" s="48">
        <f t="shared" si="3"/>
        <v>0.76643598615916952</v>
      </c>
      <c r="G14" s="48">
        <f t="shared" si="4"/>
        <v>0.81209899175068734</v>
      </c>
      <c r="H14" s="51">
        <f t="shared" ref="H14:I14" si="7">SUM(H3:H13)</f>
        <v>461</v>
      </c>
      <c r="I14" s="51">
        <f t="shared" si="7"/>
        <v>443</v>
      </c>
      <c r="J14" s="48">
        <f t="shared" si="5"/>
        <v>0.9609544468546638</v>
      </c>
      <c r="K14" s="51">
        <f t="shared" ref="K14:O14" si="8">SUM(K3:K13)</f>
        <v>361</v>
      </c>
      <c r="L14" s="51">
        <f t="shared" si="8"/>
        <v>9</v>
      </c>
      <c r="M14" s="51">
        <f t="shared" si="8"/>
        <v>73</v>
      </c>
      <c r="N14" s="51">
        <f t="shared" si="8"/>
        <v>513</v>
      </c>
      <c r="O14" s="51">
        <f t="shared" si="8"/>
        <v>578</v>
      </c>
    </row>
    <row r="15" spans="1:15">
      <c r="A15" s="52" t="s">
        <v>54</v>
      </c>
      <c r="B15" s="52"/>
      <c r="C15" s="52"/>
      <c r="D15" s="52"/>
      <c r="E15" s="52"/>
      <c r="F15" s="52"/>
      <c r="G15" s="52"/>
      <c r="H15" s="53" t="s">
        <v>55</v>
      </c>
      <c r="I15" s="52"/>
      <c r="J15" s="54"/>
      <c r="K15" s="52"/>
      <c r="L15" s="52"/>
      <c r="M15" s="52"/>
    </row>
    <row r="16" spans="1:15">
      <c r="A16" s="55"/>
      <c r="B16" s="56"/>
      <c r="C16" s="56"/>
      <c r="D16" s="56"/>
      <c r="E16" s="56"/>
      <c r="F16" s="56"/>
      <c r="G16" s="56"/>
    </row>
    <row r="17" spans="1:7">
      <c r="A17" s="2"/>
      <c r="B17" s="2"/>
      <c r="C17" s="2"/>
      <c r="D17" s="2"/>
      <c r="E17" s="2"/>
      <c r="F17" s="2"/>
      <c r="G17" s="2"/>
    </row>
    <row r="18" spans="1:7">
      <c r="A18" s="2"/>
      <c r="B18" s="2"/>
      <c r="C18" s="2"/>
      <c r="D18" s="2"/>
      <c r="E18" s="2"/>
      <c r="F18" s="2"/>
      <c r="G18" s="2"/>
    </row>
    <row r="19" spans="1:7">
      <c r="A19" s="2"/>
      <c r="B19" s="2"/>
      <c r="C19" s="2"/>
      <c r="D19" s="2"/>
      <c r="E19" s="2"/>
      <c r="F19" s="2"/>
      <c r="G19" s="2"/>
    </row>
    <row r="20" spans="1:7">
      <c r="A20" s="2"/>
      <c r="B20" s="2"/>
      <c r="C20" s="2"/>
      <c r="D20" s="2"/>
      <c r="E20" s="2"/>
      <c r="F20" s="2"/>
      <c r="G20" s="2"/>
    </row>
    <row r="21" spans="1:7">
      <c r="A21" s="2"/>
      <c r="B21" s="2"/>
      <c r="C21" s="2"/>
      <c r="D21" s="2"/>
      <c r="E21" s="2"/>
      <c r="F21" s="2"/>
      <c r="G21" s="2"/>
    </row>
    <row r="22" spans="1:7">
      <c r="A22" s="2"/>
      <c r="B22" s="2"/>
      <c r="C22" s="2"/>
      <c r="D22" s="2"/>
      <c r="E22" s="2"/>
      <c r="F22" s="2"/>
      <c r="G22" s="2"/>
    </row>
    <row r="23" spans="1:7">
      <c r="A23" s="2"/>
      <c r="B23" s="2"/>
      <c r="C23" s="2"/>
      <c r="D23" s="2"/>
      <c r="E23" s="2"/>
      <c r="F23" s="2"/>
      <c r="G23" s="2"/>
    </row>
    <row r="24" spans="1:7">
      <c r="A24" s="2"/>
      <c r="B24" s="2"/>
      <c r="C24" s="2"/>
      <c r="D24" s="2"/>
      <c r="E24" s="2"/>
      <c r="F24" s="2"/>
      <c r="G24" s="2"/>
    </row>
    <row r="25" spans="1:7">
      <c r="A25" s="2"/>
      <c r="B25" s="2"/>
      <c r="C25" s="2"/>
      <c r="D25" s="2"/>
      <c r="E25" s="2"/>
      <c r="F25" s="2"/>
      <c r="G25" s="2"/>
    </row>
    <row r="26" spans="1:7">
      <c r="A26" s="2"/>
      <c r="B26" s="2"/>
      <c r="C26" s="2"/>
      <c r="D26" s="2"/>
      <c r="E26" s="2"/>
      <c r="F26" s="2"/>
      <c r="G26" s="2"/>
    </row>
    <row r="27" spans="1:7">
      <c r="A27" s="2"/>
      <c r="B27" s="2"/>
      <c r="C27" s="2"/>
      <c r="D27" s="2"/>
      <c r="E27" s="2"/>
      <c r="F27" s="2"/>
      <c r="G27" s="2"/>
    </row>
  </sheetData>
  <mergeCells count="3">
    <mergeCell ref="B1:G1"/>
    <mergeCell ref="H1:J1"/>
    <mergeCell ref="K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E1000"/>
  <sheetViews>
    <sheetView workbookViewId="0">
      <pane xSplit="2" topLeftCell="C1" activePane="topRight" state="frozen"/>
      <selection pane="topRight" activeCell="D2" sqref="D2"/>
    </sheetView>
  </sheetViews>
  <sheetFormatPr defaultColWidth="14.42578125" defaultRowHeight="15" customHeight="1"/>
  <cols>
    <col min="1" max="1" width="28.5703125" customWidth="1"/>
    <col min="2" max="2" width="18.28515625" customWidth="1"/>
    <col min="3" max="3" width="53.85546875" customWidth="1"/>
    <col min="4" max="4" width="96.85546875" customWidth="1"/>
    <col min="5" max="5" width="6.42578125" customWidth="1"/>
    <col min="6" max="26" width="8.7109375" customWidth="1"/>
  </cols>
  <sheetData>
    <row r="1" spans="1:5">
      <c r="A1" s="57" t="s">
        <v>56</v>
      </c>
      <c r="B1" s="57" t="s">
        <v>57</v>
      </c>
      <c r="C1" s="57" t="s">
        <v>58</v>
      </c>
      <c r="D1" s="57" t="s">
        <v>59</v>
      </c>
      <c r="E1" s="58" t="s">
        <v>60</v>
      </c>
    </row>
    <row r="2" spans="1:5" hidden="1">
      <c r="A2" s="59" t="s">
        <v>61</v>
      </c>
      <c r="B2" s="59" t="s">
        <v>62</v>
      </c>
      <c r="C2" s="59" t="s">
        <v>63</v>
      </c>
      <c r="D2" s="59" t="s">
        <v>64</v>
      </c>
      <c r="E2" s="60">
        <v>0</v>
      </c>
    </row>
    <row r="3" spans="1:5" hidden="1">
      <c r="A3" s="59" t="s">
        <v>61</v>
      </c>
      <c r="B3" s="59" t="s">
        <v>65</v>
      </c>
      <c r="C3" s="59" t="s">
        <v>66</v>
      </c>
      <c r="D3" s="59" t="s">
        <v>67</v>
      </c>
      <c r="E3" s="60">
        <v>0</v>
      </c>
    </row>
    <row r="4" spans="1:5" hidden="1">
      <c r="A4" s="59" t="s">
        <v>61</v>
      </c>
      <c r="B4" s="59" t="s">
        <v>68</v>
      </c>
      <c r="C4" s="59" t="s">
        <v>69</v>
      </c>
      <c r="D4" s="59" t="s">
        <v>70</v>
      </c>
      <c r="E4" s="60">
        <v>0</v>
      </c>
    </row>
    <row r="5" spans="1:5" hidden="1">
      <c r="A5" s="59" t="s">
        <v>61</v>
      </c>
      <c r="B5" s="59" t="s">
        <v>71</v>
      </c>
      <c r="C5" s="59" t="s">
        <v>72</v>
      </c>
      <c r="D5" s="59" t="s">
        <v>73</v>
      </c>
      <c r="E5" s="60">
        <v>0</v>
      </c>
    </row>
    <row r="6" spans="1:5" hidden="1">
      <c r="A6" s="59" t="s">
        <v>61</v>
      </c>
      <c r="B6" s="59" t="s">
        <v>74</v>
      </c>
      <c r="C6" s="59" t="s">
        <v>75</v>
      </c>
      <c r="D6" s="59" t="s">
        <v>76</v>
      </c>
      <c r="E6" s="60">
        <v>0</v>
      </c>
    </row>
    <row r="7" spans="1:5" hidden="1">
      <c r="A7" s="59" t="s">
        <v>61</v>
      </c>
      <c r="B7" s="59" t="s">
        <v>77</v>
      </c>
      <c r="C7" s="59" t="s">
        <v>78</v>
      </c>
      <c r="D7" s="59" t="s">
        <v>79</v>
      </c>
      <c r="E7" s="60">
        <v>0</v>
      </c>
    </row>
    <row r="8" spans="1:5" hidden="1">
      <c r="A8" s="59" t="s">
        <v>61</v>
      </c>
      <c r="B8" s="59" t="s">
        <v>80</v>
      </c>
      <c r="C8" s="59" t="s">
        <v>81</v>
      </c>
      <c r="D8" s="59" t="s">
        <v>82</v>
      </c>
      <c r="E8" s="60">
        <v>0</v>
      </c>
    </row>
    <row r="9" spans="1:5" hidden="1">
      <c r="A9" s="59" t="s">
        <v>61</v>
      </c>
      <c r="B9" s="59" t="s">
        <v>83</v>
      </c>
      <c r="C9" s="59" t="s">
        <v>84</v>
      </c>
      <c r="D9" s="59" t="s">
        <v>85</v>
      </c>
      <c r="E9" s="60">
        <v>0</v>
      </c>
    </row>
    <row r="10" spans="1:5" hidden="1">
      <c r="A10" s="59" t="s">
        <v>61</v>
      </c>
      <c r="B10" s="59" t="s">
        <v>86</v>
      </c>
      <c r="C10" s="59" t="s">
        <v>87</v>
      </c>
      <c r="D10" s="59" t="s">
        <v>88</v>
      </c>
      <c r="E10" s="60">
        <v>1</v>
      </c>
    </row>
    <row r="11" spans="1:5" hidden="1">
      <c r="A11" s="59" t="s">
        <v>61</v>
      </c>
      <c r="B11" s="59" t="s">
        <v>89</v>
      </c>
      <c r="C11" s="59" t="s">
        <v>90</v>
      </c>
      <c r="D11" s="59" t="s">
        <v>91</v>
      </c>
      <c r="E11" s="60">
        <v>0</v>
      </c>
    </row>
    <row r="12" spans="1:5" hidden="1">
      <c r="A12" s="59" t="s">
        <v>61</v>
      </c>
      <c r="B12" s="59" t="s">
        <v>92</v>
      </c>
      <c r="C12" s="59" t="s">
        <v>93</v>
      </c>
      <c r="D12" s="59" t="s">
        <v>94</v>
      </c>
      <c r="E12" s="60">
        <v>0</v>
      </c>
    </row>
    <row r="13" spans="1:5" hidden="1">
      <c r="A13" s="59" t="s">
        <v>61</v>
      </c>
      <c r="B13" s="59" t="s">
        <v>59</v>
      </c>
      <c r="C13" s="59" t="s">
        <v>95</v>
      </c>
      <c r="D13" s="59" t="s">
        <v>96</v>
      </c>
      <c r="E13" s="60">
        <v>0</v>
      </c>
    </row>
    <row r="14" spans="1:5" hidden="1">
      <c r="A14" s="59" t="s">
        <v>61</v>
      </c>
      <c r="B14" s="59" t="s">
        <v>97</v>
      </c>
      <c r="C14" s="59" t="s">
        <v>98</v>
      </c>
      <c r="D14" s="59" t="s">
        <v>94</v>
      </c>
      <c r="E14" s="60">
        <v>0</v>
      </c>
    </row>
    <row r="15" spans="1:5" hidden="1">
      <c r="A15" s="59" t="s">
        <v>61</v>
      </c>
      <c r="B15" s="59" t="s">
        <v>99</v>
      </c>
      <c r="C15" s="59" t="s">
        <v>100</v>
      </c>
      <c r="D15" s="59" t="s">
        <v>94</v>
      </c>
      <c r="E15" s="60">
        <v>0</v>
      </c>
    </row>
    <row r="16" spans="1:5" hidden="1">
      <c r="A16" s="59" t="s">
        <v>61</v>
      </c>
      <c r="B16" s="59" t="s">
        <v>101</v>
      </c>
      <c r="C16" s="59" t="s">
        <v>102</v>
      </c>
      <c r="D16" s="59" t="s">
        <v>94</v>
      </c>
      <c r="E16" s="60">
        <v>0</v>
      </c>
    </row>
    <row r="17" spans="1:5" hidden="1">
      <c r="A17" s="59" t="s">
        <v>61</v>
      </c>
      <c r="B17" s="59" t="s">
        <v>103</v>
      </c>
      <c r="C17" s="59" t="s">
        <v>104</v>
      </c>
      <c r="D17" s="59" t="s">
        <v>105</v>
      </c>
      <c r="E17" s="60">
        <v>0</v>
      </c>
    </row>
    <row r="18" spans="1:5" hidden="1">
      <c r="A18" s="59" t="s">
        <v>61</v>
      </c>
      <c r="B18" s="59" t="s">
        <v>106</v>
      </c>
      <c r="C18" s="59" t="s">
        <v>107</v>
      </c>
      <c r="D18" s="59" t="s">
        <v>108</v>
      </c>
      <c r="E18" s="60">
        <v>0</v>
      </c>
    </row>
    <row r="19" spans="1:5" hidden="1">
      <c r="A19" s="59" t="s">
        <v>61</v>
      </c>
      <c r="B19" s="59" t="s">
        <v>109</v>
      </c>
      <c r="C19" s="59" t="s">
        <v>110</v>
      </c>
      <c r="D19" s="59" t="s">
        <v>111</v>
      </c>
      <c r="E19" s="60">
        <v>1</v>
      </c>
    </row>
    <row r="20" spans="1:5" hidden="1">
      <c r="A20" s="59" t="s">
        <v>61</v>
      </c>
      <c r="B20" s="59" t="s">
        <v>112</v>
      </c>
      <c r="C20" s="59" t="s">
        <v>113</v>
      </c>
      <c r="D20" s="59" t="s">
        <v>114</v>
      </c>
      <c r="E20" s="60">
        <v>1</v>
      </c>
    </row>
    <row r="21" spans="1:5" ht="15.75" hidden="1" customHeight="1">
      <c r="A21" s="59" t="s">
        <v>61</v>
      </c>
      <c r="B21" s="59" t="s">
        <v>115</v>
      </c>
      <c r="C21" s="59" t="s">
        <v>116</v>
      </c>
      <c r="D21" s="59" t="s">
        <v>94</v>
      </c>
      <c r="E21" s="60">
        <v>0</v>
      </c>
    </row>
    <row r="22" spans="1:5" ht="15.75" hidden="1" customHeight="1">
      <c r="A22" s="59" t="s">
        <v>61</v>
      </c>
      <c r="B22" s="59" t="s">
        <v>117</v>
      </c>
      <c r="C22" s="59" t="s">
        <v>118</v>
      </c>
      <c r="D22" s="59" t="s">
        <v>94</v>
      </c>
      <c r="E22" s="60">
        <v>0</v>
      </c>
    </row>
    <row r="23" spans="1:5" ht="15.75" hidden="1" customHeight="1">
      <c r="A23" s="59" t="s">
        <v>61</v>
      </c>
      <c r="B23" s="59" t="s">
        <v>119</v>
      </c>
      <c r="C23" s="59" t="s">
        <v>120</v>
      </c>
      <c r="D23" s="59" t="s">
        <v>121</v>
      </c>
      <c r="E23" s="60">
        <v>0</v>
      </c>
    </row>
    <row r="24" spans="1:5" ht="15.75" hidden="1" customHeight="1">
      <c r="A24" s="59" t="s">
        <v>61</v>
      </c>
      <c r="B24" s="59" t="s">
        <v>122</v>
      </c>
      <c r="C24" s="59" t="s">
        <v>123</v>
      </c>
      <c r="D24" s="59" t="s">
        <v>124</v>
      </c>
      <c r="E24" s="60">
        <v>0</v>
      </c>
    </row>
    <row r="25" spans="1:5" ht="15.75" hidden="1" customHeight="1">
      <c r="A25" s="59" t="s">
        <v>61</v>
      </c>
      <c r="B25" s="59" t="s">
        <v>125</v>
      </c>
      <c r="C25" s="59" t="s">
        <v>126</v>
      </c>
      <c r="D25" s="59" t="s">
        <v>94</v>
      </c>
      <c r="E25" s="60">
        <v>0</v>
      </c>
    </row>
    <row r="26" spans="1:5" ht="15.75" hidden="1" customHeight="1">
      <c r="A26" s="59" t="s">
        <v>61</v>
      </c>
      <c r="B26" s="59" t="s">
        <v>127</v>
      </c>
      <c r="C26" s="59" t="s">
        <v>128</v>
      </c>
      <c r="D26" s="59" t="s">
        <v>94</v>
      </c>
      <c r="E26" s="60">
        <v>0</v>
      </c>
    </row>
    <row r="27" spans="1:5" ht="15.75" hidden="1" customHeight="1">
      <c r="A27" s="59" t="s">
        <v>61</v>
      </c>
      <c r="B27" s="59" t="s">
        <v>129</v>
      </c>
      <c r="C27" s="59" t="s">
        <v>130</v>
      </c>
      <c r="D27" s="59" t="s">
        <v>131</v>
      </c>
      <c r="E27" s="60">
        <v>0</v>
      </c>
    </row>
    <row r="28" spans="1:5" ht="15.75" hidden="1" customHeight="1">
      <c r="A28" s="59" t="s">
        <v>61</v>
      </c>
      <c r="B28" s="59" t="s">
        <v>132</v>
      </c>
      <c r="C28" s="59" t="s">
        <v>133</v>
      </c>
      <c r="D28" s="59" t="s">
        <v>134</v>
      </c>
      <c r="E28" s="60">
        <v>0</v>
      </c>
    </row>
    <row r="29" spans="1:5" ht="15.75" hidden="1" customHeight="1">
      <c r="A29" s="59" t="s">
        <v>61</v>
      </c>
      <c r="B29" s="59" t="s">
        <v>135</v>
      </c>
      <c r="C29" s="59" t="s">
        <v>136</v>
      </c>
      <c r="D29" s="59" t="s">
        <v>94</v>
      </c>
      <c r="E29" s="60">
        <v>0</v>
      </c>
    </row>
    <row r="30" spans="1:5" ht="15.75" customHeight="1">
      <c r="A30" s="59" t="s">
        <v>61</v>
      </c>
      <c r="B30" s="59" t="s">
        <v>137</v>
      </c>
      <c r="C30" s="59" t="s">
        <v>138</v>
      </c>
      <c r="D30" s="59" t="s">
        <v>139</v>
      </c>
      <c r="E30" s="60">
        <v>-1</v>
      </c>
    </row>
    <row r="31" spans="1:5" ht="15.75" customHeight="1">
      <c r="A31" s="59" t="s">
        <v>61</v>
      </c>
      <c r="B31" s="59" t="s">
        <v>140</v>
      </c>
      <c r="C31" s="59" t="s">
        <v>141</v>
      </c>
      <c r="D31" s="59" t="s">
        <v>142</v>
      </c>
      <c r="E31" s="60">
        <v>-1</v>
      </c>
    </row>
    <row r="32" spans="1:5" ht="15.75" customHeight="1">
      <c r="A32" s="59" t="s">
        <v>61</v>
      </c>
      <c r="B32" s="59" t="s">
        <v>143</v>
      </c>
      <c r="C32" s="59" t="s">
        <v>144</v>
      </c>
      <c r="D32" s="59" t="s">
        <v>94</v>
      </c>
      <c r="E32" s="60">
        <v>-1</v>
      </c>
    </row>
    <row r="33" spans="1:5" ht="15.75" hidden="1" customHeight="1">
      <c r="A33" s="59" t="s">
        <v>61</v>
      </c>
      <c r="B33" s="59" t="s">
        <v>145</v>
      </c>
      <c r="C33" s="59" t="s">
        <v>146</v>
      </c>
      <c r="D33" s="59" t="s">
        <v>94</v>
      </c>
      <c r="E33" s="60">
        <v>0</v>
      </c>
    </row>
    <row r="34" spans="1:5" ht="15.75" hidden="1" customHeight="1">
      <c r="A34" s="59" t="s">
        <v>61</v>
      </c>
      <c r="B34" s="59" t="s">
        <v>147</v>
      </c>
      <c r="C34" s="59" t="s">
        <v>148</v>
      </c>
      <c r="D34" s="59" t="s">
        <v>94</v>
      </c>
      <c r="E34" s="60">
        <v>0</v>
      </c>
    </row>
    <row r="35" spans="1:5" ht="15.75" hidden="1" customHeight="1">
      <c r="A35" s="59" t="s">
        <v>61</v>
      </c>
      <c r="B35" s="59" t="s">
        <v>149</v>
      </c>
      <c r="C35" s="59" t="s">
        <v>150</v>
      </c>
      <c r="D35" s="59" t="s">
        <v>94</v>
      </c>
      <c r="E35" s="60">
        <v>0</v>
      </c>
    </row>
    <row r="36" spans="1:5" ht="15.75" hidden="1" customHeight="1">
      <c r="A36" s="59" t="s">
        <v>61</v>
      </c>
      <c r="B36" s="59" t="s">
        <v>151</v>
      </c>
      <c r="C36" s="59" t="s">
        <v>152</v>
      </c>
      <c r="D36" s="59" t="s">
        <v>153</v>
      </c>
      <c r="E36" s="60">
        <v>0</v>
      </c>
    </row>
    <row r="37" spans="1:5" ht="15.75" hidden="1" customHeight="1">
      <c r="A37" s="59" t="s">
        <v>61</v>
      </c>
      <c r="B37" s="59" t="s">
        <v>154</v>
      </c>
      <c r="C37" s="59" t="s">
        <v>155</v>
      </c>
      <c r="D37" s="59" t="s">
        <v>94</v>
      </c>
      <c r="E37" s="60">
        <v>0</v>
      </c>
    </row>
    <row r="38" spans="1:5" ht="15.75" customHeight="1">
      <c r="A38" s="59" t="s">
        <v>61</v>
      </c>
      <c r="B38" s="59" t="s">
        <v>156</v>
      </c>
      <c r="C38" s="59" t="s">
        <v>157</v>
      </c>
      <c r="D38" s="59" t="s">
        <v>94</v>
      </c>
      <c r="E38" s="2">
        <v>-1</v>
      </c>
    </row>
    <row r="39" spans="1:5" ht="15.75" hidden="1" customHeight="1">
      <c r="A39" s="59" t="s">
        <v>61</v>
      </c>
      <c r="B39" s="59" t="s">
        <v>158</v>
      </c>
      <c r="C39" s="59" t="s">
        <v>159</v>
      </c>
      <c r="D39" s="59" t="s">
        <v>160</v>
      </c>
      <c r="E39" s="2">
        <v>0</v>
      </c>
    </row>
    <row r="40" spans="1:5" ht="15.75" hidden="1" customHeight="1">
      <c r="A40" s="59" t="s">
        <v>61</v>
      </c>
      <c r="B40" s="59" t="s">
        <v>161</v>
      </c>
      <c r="C40" s="59" t="s">
        <v>162</v>
      </c>
      <c r="D40" s="59" t="s">
        <v>94</v>
      </c>
      <c r="E40" s="2">
        <v>0</v>
      </c>
    </row>
    <row r="41" spans="1:5" ht="15.75" hidden="1" customHeight="1">
      <c r="A41" s="59" t="s">
        <v>61</v>
      </c>
      <c r="B41" s="59" t="s">
        <v>163</v>
      </c>
      <c r="C41" s="59" t="s">
        <v>164</v>
      </c>
      <c r="D41" s="59" t="s">
        <v>165</v>
      </c>
      <c r="E41" s="2">
        <v>0</v>
      </c>
    </row>
    <row r="42" spans="1:5" ht="15.75" hidden="1" customHeight="1">
      <c r="A42" s="59" t="s">
        <v>61</v>
      </c>
      <c r="B42" s="59" t="s">
        <v>166</v>
      </c>
      <c r="C42" s="59" t="s">
        <v>167</v>
      </c>
      <c r="D42" s="59" t="s">
        <v>94</v>
      </c>
      <c r="E42" s="2">
        <v>0</v>
      </c>
    </row>
    <row r="43" spans="1:5" ht="15.75" hidden="1" customHeight="1">
      <c r="A43" s="59" t="s">
        <v>61</v>
      </c>
      <c r="B43" s="59" t="s">
        <v>168</v>
      </c>
      <c r="C43" s="59" t="s">
        <v>169</v>
      </c>
      <c r="D43" s="59" t="s">
        <v>94</v>
      </c>
      <c r="E43" s="2">
        <v>0</v>
      </c>
    </row>
    <row r="44" spans="1:5" ht="15.75" hidden="1" customHeight="1">
      <c r="A44" s="59" t="s">
        <v>61</v>
      </c>
      <c r="B44" s="59" t="s">
        <v>170</v>
      </c>
      <c r="C44" s="59" t="s">
        <v>171</v>
      </c>
      <c r="D44" s="59" t="s">
        <v>94</v>
      </c>
      <c r="E44" s="2">
        <v>0</v>
      </c>
    </row>
    <row r="45" spans="1:5" ht="15.75" hidden="1" customHeight="1">
      <c r="A45" s="59" t="s">
        <v>61</v>
      </c>
      <c r="B45" s="59" t="s">
        <v>172</v>
      </c>
      <c r="C45" s="59" t="s">
        <v>173</v>
      </c>
      <c r="D45" s="59" t="s">
        <v>94</v>
      </c>
      <c r="E45" s="2">
        <v>0</v>
      </c>
    </row>
    <row r="46" spans="1:5" ht="15.75" hidden="1" customHeight="1">
      <c r="A46" s="59" t="s">
        <v>61</v>
      </c>
      <c r="B46" s="59" t="s">
        <v>174</v>
      </c>
      <c r="C46" s="59" t="s">
        <v>175</v>
      </c>
      <c r="D46" s="59" t="s">
        <v>88</v>
      </c>
      <c r="E46" s="2">
        <v>1</v>
      </c>
    </row>
    <row r="47" spans="1:5" ht="15.75" hidden="1" customHeight="1">
      <c r="A47" s="59" t="s">
        <v>61</v>
      </c>
      <c r="B47" s="59" t="s">
        <v>176</v>
      </c>
      <c r="C47" s="59" t="s">
        <v>177</v>
      </c>
      <c r="D47" s="59" t="s">
        <v>94</v>
      </c>
      <c r="E47" s="2">
        <v>0</v>
      </c>
    </row>
    <row r="48" spans="1:5" ht="15.75" hidden="1" customHeight="1">
      <c r="A48" s="59" t="s">
        <v>61</v>
      </c>
      <c r="B48" s="59" t="s">
        <v>178</v>
      </c>
      <c r="C48" s="59" t="s">
        <v>179</v>
      </c>
      <c r="D48" s="59" t="s">
        <v>180</v>
      </c>
      <c r="E48" s="2">
        <v>1</v>
      </c>
    </row>
    <row r="49" spans="1:5" ht="15.75" customHeight="1">
      <c r="A49" s="59"/>
      <c r="B49" s="59"/>
      <c r="C49" s="61"/>
      <c r="D49" s="59"/>
      <c r="E49" s="60"/>
    </row>
    <row r="50" spans="1:5" ht="15.75" customHeight="1">
      <c r="A50" s="59"/>
      <c r="B50" s="59"/>
      <c r="C50" s="61"/>
      <c r="D50" s="59"/>
      <c r="E50" s="60"/>
    </row>
    <row r="51" spans="1:5" ht="15.75" customHeight="1">
      <c r="A51" s="59"/>
      <c r="B51" s="59"/>
      <c r="C51" s="59"/>
      <c r="D51" s="59"/>
      <c r="E51" s="60"/>
    </row>
    <row r="52" spans="1:5" ht="15.75" customHeight="1">
      <c r="A52" s="59"/>
      <c r="B52" s="59"/>
      <c r="C52" s="61"/>
      <c r="D52" s="59"/>
      <c r="E52" s="60"/>
    </row>
    <row r="53" spans="1:5" ht="15.75" customHeight="1">
      <c r="A53" s="59"/>
      <c r="B53" s="59"/>
      <c r="C53" s="59"/>
      <c r="D53" s="59"/>
      <c r="E53" s="60"/>
    </row>
    <row r="54" spans="1:5" ht="15.75" customHeight="1">
      <c r="A54" s="59"/>
      <c r="B54" s="59"/>
      <c r="C54" s="59"/>
      <c r="D54" s="59"/>
      <c r="E54" s="60"/>
    </row>
    <row r="55" spans="1:5" ht="15.75" customHeight="1">
      <c r="A55" s="59"/>
      <c r="B55" s="59"/>
      <c r="C55" s="59"/>
      <c r="D55" s="59"/>
      <c r="E55" s="60"/>
    </row>
    <row r="56" spans="1:5" ht="15.75" customHeight="1">
      <c r="A56" s="59"/>
      <c r="B56" s="59"/>
      <c r="C56" s="59"/>
      <c r="D56" s="59"/>
      <c r="E56" s="60"/>
    </row>
    <row r="57" spans="1:5" ht="15.75" customHeight="1">
      <c r="A57" s="59"/>
      <c r="B57" s="59"/>
      <c r="C57" s="59"/>
      <c r="D57" s="59"/>
      <c r="E57" s="60"/>
    </row>
    <row r="58" spans="1:5" ht="15.75" customHeight="1">
      <c r="A58" s="59"/>
      <c r="B58" s="59"/>
      <c r="C58" s="59"/>
      <c r="D58" s="59"/>
      <c r="E58" s="60"/>
    </row>
    <row r="59" spans="1:5" ht="15.75" customHeight="1">
      <c r="A59" s="59"/>
      <c r="B59" s="59"/>
      <c r="C59" s="59"/>
      <c r="D59" s="59"/>
      <c r="E59" s="60"/>
    </row>
    <row r="60" spans="1:5" ht="15.75" customHeight="1">
      <c r="A60" s="59"/>
      <c r="B60" s="59"/>
      <c r="C60" s="59"/>
      <c r="D60" s="61"/>
      <c r="E60" s="60"/>
    </row>
    <row r="61" spans="1:5" ht="15.75" customHeight="1">
      <c r="E61" s="62"/>
    </row>
    <row r="62" spans="1:5" ht="15.75" customHeight="1">
      <c r="E62" s="62"/>
    </row>
    <row r="63" spans="1:5" ht="15.75" customHeight="1">
      <c r="E63" s="62"/>
    </row>
    <row r="64" spans="1: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48" xr:uid="{00000000-0009-0000-0000-000003000000}">
    <filterColumn colId="4">
      <filters>
        <filter val="-1"/>
      </filters>
    </filterColumn>
  </autoFilter>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E1000"/>
  <sheetViews>
    <sheetView workbookViewId="0"/>
  </sheetViews>
  <sheetFormatPr defaultColWidth="14.42578125" defaultRowHeight="15" customHeight="1"/>
  <cols>
    <col min="1" max="1" width="19.42578125" customWidth="1"/>
    <col min="2" max="2" width="24.140625" customWidth="1"/>
    <col min="3" max="3" width="55.5703125" customWidth="1"/>
    <col min="4" max="4" width="94.5703125" customWidth="1"/>
    <col min="5" max="5" width="7.140625" customWidth="1"/>
    <col min="6" max="26" width="8.7109375" customWidth="1"/>
  </cols>
  <sheetData>
    <row r="1" spans="1:5">
      <c r="A1" s="57" t="s">
        <v>56</v>
      </c>
      <c r="B1" s="57" t="s">
        <v>57</v>
      </c>
      <c r="C1" s="57" t="s">
        <v>58</v>
      </c>
      <c r="D1" s="57" t="s">
        <v>59</v>
      </c>
      <c r="E1" s="58" t="s">
        <v>60</v>
      </c>
    </row>
    <row r="2" spans="1:5" hidden="1">
      <c r="A2" s="59" t="s">
        <v>181</v>
      </c>
      <c r="B2" s="59" t="s">
        <v>62</v>
      </c>
      <c r="C2" s="59" t="s">
        <v>63</v>
      </c>
      <c r="D2" s="59" t="s">
        <v>64</v>
      </c>
      <c r="E2" s="60">
        <v>0</v>
      </c>
    </row>
    <row r="3" spans="1:5" hidden="1">
      <c r="A3" s="59" t="s">
        <v>181</v>
      </c>
      <c r="B3" s="59" t="s">
        <v>65</v>
      </c>
      <c r="C3" s="59" t="s">
        <v>66</v>
      </c>
      <c r="D3" s="59" t="s">
        <v>67</v>
      </c>
      <c r="E3" s="60">
        <v>0</v>
      </c>
    </row>
    <row r="4" spans="1:5" hidden="1">
      <c r="A4" s="59" t="s">
        <v>181</v>
      </c>
      <c r="B4" s="59" t="s">
        <v>68</v>
      </c>
      <c r="C4" s="59" t="s">
        <v>69</v>
      </c>
      <c r="D4" s="59" t="s">
        <v>70</v>
      </c>
      <c r="E4" s="60">
        <v>0</v>
      </c>
    </row>
    <row r="5" spans="1:5" hidden="1">
      <c r="A5" s="59" t="s">
        <v>181</v>
      </c>
      <c r="B5" s="59" t="s">
        <v>71</v>
      </c>
      <c r="C5" s="59" t="s">
        <v>72</v>
      </c>
      <c r="D5" s="59" t="s">
        <v>73</v>
      </c>
      <c r="E5" s="60">
        <v>0</v>
      </c>
    </row>
    <row r="6" spans="1:5" hidden="1">
      <c r="A6" s="59" t="s">
        <v>181</v>
      </c>
      <c r="B6" s="59" t="s">
        <v>77</v>
      </c>
      <c r="C6" s="59" t="s">
        <v>78</v>
      </c>
      <c r="D6" s="59" t="s">
        <v>79</v>
      </c>
      <c r="E6" s="60">
        <v>0</v>
      </c>
    </row>
    <row r="7" spans="1:5" hidden="1">
      <c r="A7" s="59" t="s">
        <v>181</v>
      </c>
      <c r="B7" s="59" t="s">
        <v>80</v>
      </c>
      <c r="C7" s="59" t="s">
        <v>81</v>
      </c>
      <c r="D7" s="59" t="s">
        <v>82</v>
      </c>
      <c r="E7" s="60">
        <v>0</v>
      </c>
    </row>
    <row r="8" spans="1:5" hidden="1">
      <c r="A8" s="59" t="s">
        <v>181</v>
      </c>
      <c r="B8" s="59" t="s">
        <v>83</v>
      </c>
      <c r="C8" s="59" t="s">
        <v>84</v>
      </c>
      <c r="D8" s="59" t="s">
        <v>85</v>
      </c>
      <c r="E8" s="60">
        <v>0</v>
      </c>
    </row>
    <row r="9" spans="1:5" hidden="1">
      <c r="A9" s="59" t="s">
        <v>181</v>
      </c>
      <c r="B9" s="59" t="s">
        <v>86</v>
      </c>
      <c r="C9" s="59" t="s">
        <v>87</v>
      </c>
      <c r="D9" s="59" t="s">
        <v>88</v>
      </c>
      <c r="E9" s="60">
        <v>1</v>
      </c>
    </row>
    <row r="10" spans="1:5" hidden="1">
      <c r="A10" s="59" t="s">
        <v>181</v>
      </c>
      <c r="B10" s="59" t="s">
        <v>92</v>
      </c>
      <c r="C10" s="59" t="s">
        <v>93</v>
      </c>
      <c r="D10" s="59" t="s">
        <v>94</v>
      </c>
      <c r="E10" s="60">
        <v>0</v>
      </c>
    </row>
    <row r="11" spans="1:5" hidden="1">
      <c r="A11" s="59" t="s">
        <v>181</v>
      </c>
      <c r="B11" s="59" t="s">
        <v>97</v>
      </c>
      <c r="C11" s="59" t="s">
        <v>98</v>
      </c>
      <c r="D11" s="59" t="s">
        <v>94</v>
      </c>
      <c r="E11" s="60">
        <v>0</v>
      </c>
    </row>
    <row r="12" spans="1:5" hidden="1">
      <c r="A12" s="59" t="s">
        <v>181</v>
      </c>
      <c r="B12" s="59" t="s">
        <v>99</v>
      </c>
      <c r="C12" s="59" t="s">
        <v>100</v>
      </c>
      <c r="D12" s="59" t="s">
        <v>94</v>
      </c>
      <c r="E12" s="60">
        <v>0</v>
      </c>
    </row>
    <row r="13" spans="1:5" hidden="1">
      <c r="A13" s="59" t="s">
        <v>181</v>
      </c>
      <c r="B13" s="59" t="s">
        <v>101</v>
      </c>
      <c r="C13" s="59" t="s">
        <v>102</v>
      </c>
      <c r="D13" s="59" t="s">
        <v>94</v>
      </c>
      <c r="E13" s="60">
        <v>0</v>
      </c>
    </row>
    <row r="14" spans="1:5" hidden="1">
      <c r="A14" s="59" t="s">
        <v>181</v>
      </c>
      <c r="B14" s="59" t="s">
        <v>103</v>
      </c>
      <c r="C14" s="59" t="s">
        <v>104</v>
      </c>
      <c r="D14" s="59" t="s">
        <v>105</v>
      </c>
      <c r="E14" s="60">
        <v>0</v>
      </c>
    </row>
    <row r="15" spans="1:5" hidden="1">
      <c r="A15" s="59" t="s">
        <v>181</v>
      </c>
      <c r="B15" s="59" t="s">
        <v>106</v>
      </c>
      <c r="C15" s="59" t="s">
        <v>107</v>
      </c>
      <c r="D15" s="59" t="s">
        <v>108</v>
      </c>
      <c r="E15" s="60">
        <v>0</v>
      </c>
    </row>
    <row r="16" spans="1:5" hidden="1">
      <c r="A16" s="59" t="s">
        <v>181</v>
      </c>
      <c r="B16" s="59" t="s">
        <v>115</v>
      </c>
      <c r="C16" s="59" t="s">
        <v>116</v>
      </c>
      <c r="D16" s="59" t="s">
        <v>94</v>
      </c>
      <c r="E16" s="60">
        <v>0</v>
      </c>
    </row>
    <row r="17" spans="1:5" hidden="1">
      <c r="A17" s="59" t="s">
        <v>181</v>
      </c>
      <c r="B17" s="59" t="s">
        <v>119</v>
      </c>
      <c r="C17" s="59" t="s">
        <v>120</v>
      </c>
      <c r="D17" s="59" t="s">
        <v>121</v>
      </c>
      <c r="E17" s="60">
        <v>0</v>
      </c>
    </row>
    <row r="18" spans="1:5" hidden="1">
      <c r="A18" s="59" t="s">
        <v>181</v>
      </c>
      <c r="B18" s="59" t="s">
        <v>122</v>
      </c>
      <c r="C18" s="59" t="s">
        <v>123</v>
      </c>
      <c r="D18" s="59" t="s">
        <v>124</v>
      </c>
      <c r="E18" s="60">
        <v>0</v>
      </c>
    </row>
    <row r="19" spans="1:5" hidden="1">
      <c r="A19" s="59" t="s">
        <v>181</v>
      </c>
      <c r="B19" s="59" t="s">
        <v>125</v>
      </c>
      <c r="C19" s="59" t="s">
        <v>126</v>
      </c>
      <c r="D19" s="59" t="s">
        <v>94</v>
      </c>
      <c r="E19" s="60">
        <v>0</v>
      </c>
    </row>
    <row r="20" spans="1:5" hidden="1">
      <c r="A20" s="59" t="s">
        <v>181</v>
      </c>
      <c r="B20" s="59" t="s">
        <v>127</v>
      </c>
      <c r="C20" s="59" t="s">
        <v>182</v>
      </c>
      <c r="D20" s="59" t="s">
        <v>94</v>
      </c>
      <c r="E20" s="60">
        <v>0</v>
      </c>
    </row>
    <row r="21" spans="1:5" ht="15.75" hidden="1" customHeight="1">
      <c r="A21" s="59" t="s">
        <v>181</v>
      </c>
      <c r="B21" s="59" t="s">
        <v>129</v>
      </c>
      <c r="C21" s="59" t="s">
        <v>130</v>
      </c>
      <c r="D21" s="59" t="s">
        <v>131</v>
      </c>
      <c r="E21" s="60">
        <v>0</v>
      </c>
    </row>
    <row r="22" spans="1:5" ht="15.75" hidden="1" customHeight="1">
      <c r="A22" s="59" t="s">
        <v>181</v>
      </c>
      <c r="B22" s="59" t="s">
        <v>132</v>
      </c>
      <c r="C22" s="59" t="s">
        <v>183</v>
      </c>
      <c r="D22" s="59" t="s">
        <v>134</v>
      </c>
      <c r="E22" s="60">
        <v>0</v>
      </c>
    </row>
    <row r="23" spans="1:5" ht="15.75" hidden="1" customHeight="1">
      <c r="A23" s="59" t="s">
        <v>181</v>
      </c>
      <c r="B23" s="59" t="s">
        <v>135</v>
      </c>
      <c r="C23" s="59" t="s">
        <v>184</v>
      </c>
      <c r="D23" s="59" t="s">
        <v>94</v>
      </c>
      <c r="E23" s="60">
        <v>0</v>
      </c>
    </row>
    <row r="24" spans="1:5" ht="15.75" hidden="1" customHeight="1">
      <c r="A24" s="59" t="s">
        <v>181</v>
      </c>
      <c r="B24" s="59" t="s">
        <v>137</v>
      </c>
      <c r="C24" s="59" t="s">
        <v>185</v>
      </c>
      <c r="D24" s="59" t="s">
        <v>139</v>
      </c>
      <c r="E24" s="60">
        <v>0</v>
      </c>
    </row>
    <row r="25" spans="1:5" ht="15.75" hidden="1" customHeight="1">
      <c r="A25" s="59" t="s">
        <v>181</v>
      </c>
      <c r="B25" s="59" t="s">
        <v>140</v>
      </c>
      <c r="C25" s="59" t="s">
        <v>186</v>
      </c>
      <c r="D25" s="59" t="s">
        <v>142</v>
      </c>
      <c r="E25" s="60">
        <v>0</v>
      </c>
    </row>
    <row r="26" spans="1:5" ht="15.75" customHeight="1">
      <c r="A26" s="59" t="s">
        <v>181</v>
      </c>
      <c r="B26" s="59" t="s">
        <v>143</v>
      </c>
      <c r="C26" s="59" t="s">
        <v>187</v>
      </c>
      <c r="D26" s="59" t="s">
        <v>94</v>
      </c>
      <c r="E26" s="60">
        <v>-1</v>
      </c>
    </row>
    <row r="27" spans="1:5" ht="15.75" hidden="1" customHeight="1">
      <c r="A27" s="59" t="s">
        <v>181</v>
      </c>
      <c r="B27" s="59" t="s">
        <v>145</v>
      </c>
      <c r="C27" s="59" t="s">
        <v>188</v>
      </c>
      <c r="D27" s="59" t="s">
        <v>94</v>
      </c>
      <c r="E27" s="60">
        <v>0</v>
      </c>
    </row>
    <row r="28" spans="1:5" ht="15.75" hidden="1" customHeight="1">
      <c r="A28" s="59" t="s">
        <v>181</v>
      </c>
      <c r="B28" s="59" t="s">
        <v>147</v>
      </c>
      <c r="C28" s="59" t="s">
        <v>189</v>
      </c>
      <c r="D28" s="59" t="s">
        <v>94</v>
      </c>
      <c r="E28" s="60">
        <v>0</v>
      </c>
    </row>
    <row r="29" spans="1:5" ht="15.75" hidden="1" customHeight="1">
      <c r="A29" s="59" t="s">
        <v>181</v>
      </c>
      <c r="B29" s="59" t="s">
        <v>149</v>
      </c>
      <c r="C29" s="59" t="s">
        <v>190</v>
      </c>
      <c r="D29" s="59" t="s">
        <v>94</v>
      </c>
      <c r="E29" s="60">
        <v>0</v>
      </c>
    </row>
    <row r="30" spans="1:5" ht="15.75" hidden="1" customHeight="1">
      <c r="A30" s="59" t="s">
        <v>181</v>
      </c>
      <c r="B30" s="59" t="s">
        <v>151</v>
      </c>
      <c r="C30" s="59" t="s">
        <v>191</v>
      </c>
      <c r="D30" s="59" t="s">
        <v>153</v>
      </c>
      <c r="E30" s="60">
        <v>0</v>
      </c>
    </row>
    <row r="31" spans="1:5" ht="15.75" hidden="1" customHeight="1">
      <c r="A31" s="59" t="s">
        <v>181</v>
      </c>
      <c r="B31" s="59" t="s">
        <v>154</v>
      </c>
      <c r="C31" s="59" t="s">
        <v>192</v>
      </c>
      <c r="D31" s="59" t="s">
        <v>94</v>
      </c>
      <c r="E31" s="60">
        <v>0</v>
      </c>
    </row>
    <row r="32" spans="1:5" ht="15.75" customHeight="1">
      <c r="A32" s="59" t="s">
        <v>181</v>
      </c>
      <c r="B32" s="59" t="s">
        <v>156</v>
      </c>
      <c r="C32" s="59" t="s">
        <v>193</v>
      </c>
      <c r="D32" s="59" t="s">
        <v>94</v>
      </c>
      <c r="E32" s="60">
        <v>-1</v>
      </c>
    </row>
    <row r="33" spans="1:5" ht="15.75" hidden="1" customHeight="1">
      <c r="A33" s="59" t="s">
        <v>181</v>
      </c>
      <c r="B33" s="59" t="s">
        <v>158</v>
      </c>
      <c r="C33" s="59" t="s">
        <v>159</v>
      </c>
      <c r="D33" s="59" t="s">
        <v>160</v>
      </c>
      <c r="E33" s="60">
        <v>0</v>
      </c>
    </row>
    <row r="34" spans="1:5" ht="15.75" hidden="1" customHeight="1">
      <c r="A34" s="59" t="s">
        <v>181</v>
      </c>
      <c r="B34" s="59" t="s">
        <v>161</v>
      </c>
      <c r="C34" s="59" t="s">
        <v>162</v>
      </c>
      <c r="D34" s="59" t="s">
        <v>94</v>
      </c>
      <c r="E34" s="60">
        <v>0</v>
      </c>
    </row>
    <row r="35" spans="1:5" ht="15.75" hidden="1" customHeight="1">
      <c r="A35" s="59" t="s">
        <v>181</v>
      </c>
      <c r="B35" s="59" t="s">
        <v>163</v>
      </c>
      <c r="C35" s="59" t="s">
        <v>164</v>
      </c>
      <c r="D35" s="59" t="s">
        <v>165</v>
      </c>
      <c r="E35" s="60">
        <v>0</v>
      </c>
    </row>
    <row r="36" spans="1:5" ht="15.75" hidden="1" customHeight="1">
      <c r="A36" s="59" t="s">
        <v>181</v>
      </c>
      <c r="B36" s="59" t="s">
        <v>166</v>
      </c>
      <c r="C36" s="59" t="s">
        <v>167</v>
      </c>
      <c r="D36" s="59" t="s">
        <v>94</v>
      </c>
      <c r="E36" s="60">
        <v>0</v>
      </c>
    </row>
    <row r="37" spans="1:5" ht="15.75" hidden="1" customHeight="1">
      <c r="A37" s="59" t="s">
        <v>181</v>
      </c>
      <c r="B37" s="59" t="s">
        <v>168</v>
      </c>
      <c r="C37" s="59" t="s">
        <v>169</v>
      </c>
      <c r="D37" s="59" t="s">
        <v>94</v>
      </c>
      <c r="E37" s="60">
        <v>0</v>
      </c>
    </row>
    <row r="38" spans="1:5" ht="15.75" hidden="1" customHeight="1">
      <c r="A38" s="59" t="s">
        <v>181</v>
      </c>
      <c r="B38" s="59" t="s">
        <v>170</v>
      </c>
      <c r="C38" s="59" t="s">
        <v>171</v>
      </c>
      <c r="D38" s="59" t="s">
        <v>94</v>
      </c>
      <c r="E38" s="60">
        <v>0</v>
      </c>
    </row>
    <row r="39" spans="1:5" ht="15.75" hidden="1" customHeight="1">
      <c r="A39" s="59" t="s">
        <v>181</v>
      </c>
      <c r="B39" s="59" t="s">
        <v>172</v>
      </c>
      <c r="C39" s="59" t="s">
        <v>173</v>
      </c>
      <c r="D39" s="59" t="s">
        <v>94</v>
      </c>
      <c r="E39" s="60">
        <v>0</v>
      </c>
    </row>
    <row r="40" spans="1:5" ht="15.75" hidden="1" customHeight="1">
      <c r="A40" s="59" t="s">
        <v>181</v>
      </c>
      <c r="B40" s="59" t="s">
        <v>174</v>
      </c>
      <c r="C40" s="59" t="s">
        <v>175</v>
      </c>
      <c r="D40" s="59" t="s">
        <v>88</v>
      </c>
      <c r="E40" s="60">
        <v>1</v>
      </c>
    </row>
    <row r="41" spans="1:5" ht="15.75" customHeight="1">
      <c r="A41" s="59" t="s">
        <v>181</v>
      </c>
      <c r="B41" s="59" t="s">
        <v>176</v>
      </c>
      <c r="C41" s="59" t="s">
        <v>177</v>
      </c>
      <c r="D41" s="59" t="s">
        <v>94</v>
      </c>
      <c r="E41" s="59">
        <v>-1</v>
      </c>
    </row>
    <row r="42" spans="1:5" ht="15.75" customHeight="1">
      <c r="E42" s="63"/>
    </row>
    <row r="43" spans="1:5" ht="15.75" customHeight="1">
      <c r="E43" s="62"/>
    </row>
    <row r="44" spans="1:5" ht="15.75" customHeight="1">
      <c r="E44" s="62"/>
    </row>
    <row r="45" spans="1:5" ht="15.75" customHeight="1">
      <c r="E45" s="62"/>
    </row>
    <row r="46" spans="1:5" ht="15.75" customHeight="1">
      <c r="E46" s="62"/>
    </row>
    <row r="47" spans="1:5" ht="15.75" customHeight="1">
      <c r="E47" s="62"/>
    </row>
    <row r="48" spans="1: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41" xr:uid="{00000000-0009-0000-0000-000004000000}">
    <filterColumn colId="4">
      <filters>
        <filter val="-1"/>
      </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2578125" defaultRowHeight="15" customHeight="1"/>
  <cols>
    <col min="1" max="1" width="28.7109375" customWidth="1"/>
    <col min="2" max="2" width="30.28515625" customWidth="1"/>
    <col min="3" max="3" width="72.85546875" customWidth="1"/>
    <col min="4" max="4" width="106.42578125" customWidth="1"/>
    <col min="5" max="26" width="8.7109375" customWidth="1"/>
  </cols>
  <sheetData>
    <row r="1" spans="1:5">
      <c r="A1" s="57" t="s">
        <v>56</v>
      </c>
      <c r="B1" s="57" t="s">
        <v>57</v>
      </c>
      <c r="C1" s="57" t="s">
        <v>58</v>
      </c>
      <c r="D1" s="57" t="s">
        <v>59</v>
      </c>
      <c r="E1" s="58" t="s">
        <v>60</v>
      </c>
    </row>
    <row r="2" spans="1:5">
      <c r="A2" s="59" t="s">
        <v>194</v>
      </c>
      <c r="B2" s="59" t="s">
        <v>195</v>
      </c>
      <c r="C2" s="59" t="s">
        <v>196</v>
      </c>
      <c r="D2" s="59" t="s">
        <v>197</v>
      </c>
      <c r="E2" s="60">
        <v>-1</v>
      </c>
    </row>
    <row r="3" spans="1:5">
      <c r="A3" s="59" t="s">
        <v>194</v>
      </c>
      <c r="B3" s="59" t="s">
        <v>198</v>
      </c>
      <c r="C3" s="59" t="s">
        <v>199</v>
      </c>
      <c r="D3" s="59" t="s">
        <v>200</v>
      </c>
      <c r="E3" s="60">
        <v>1</v>
      </c>
    </row>
    <row r="4" spans="1:5">
      <c r="A4" s="59" t="s">
        <v>194</v>
      </c>
      <c r="B4" s="59" t="s">
        <v>201</v>
      </c>
      <c r="C4" s="59" t="s">
        <v>202</v>
      </c>
      <c r="D4" s="59" t="s">
        <v>203</v>
      </c>
      <c r="E4" s="60">
        <v>1</v>
      </c>
    </row>
    <row r="5" spans="1:5">
      <c r="A5" s="59" t="s">
        <v>194</v>
      </c>
      <c r="B5" s="64" t="s">
        <v>204</v>
      </c>
      <c r="C5" s="59" t="s">
        <v>205</v>
      </c>
      <c r="D5" s="59" t="s">
        <v>206</v>
      </c>
      <c r="E5" s="60">
        <v>1</v>
      </c>
    </row>
    <row r="6" spans="1:5">
      <c r="A6" s="59" t="s">
        <v>194</v>
      </c>
      <c r="B6" s="59" t="s">
        <v>207</v>
      </c>
      <c r="C6" s="59" t="s">
        <v>208</v>
      </c>
      <c r="D6" s="59" t="s">
        <v>209</v>
      </c>
      <c r="E6" s="60">
        <v>1</v>
      </c>
    </row>
    <row r="7" spans="1:5">
      <c r="A7" s="59" t="s">
        <v>194</v>
      </c>
      <c r="B7" s="59" t="s">
        <v>210</v>
      </c>
      <c r="C7" s="59" t="s">
        <v>211</v>
      </c>
      <c r="D7" s="59" t="s">
        <v>212</v>
      </c>
      <c r="E7" s="60">
        <v>1</v>
      </c>
    </row>
    <row r="8" spans="1:5">
      <c r="A8" s="59" t="s">
        <v>194</v>
      </c>
      <c r="B8" s="59" t="s">
        <v>213</v>
      </c>
      <c r="C8" s="59" t="s">
        <v>214</v>
      </c>
      <c r="D8" s="59" t="s">
        <v>215</v>
      </c>
      <c r="E8" s="60">
        <v>0</v>
      </c>
    </row>
    <row r="9" spans="1:5">
      <c r="A9" s="59" t="s">
        <v>194</v>
      </c>
      <c r="B9" s="59" t="s">
        <v>216</v>
      </c>
      <c r="C9" s="59" t="s">
        <v>217</v>
      </c>
      <c r="D9" s="59" t="s">
        <v>218</v>
      </c>
      <c r="E9" s="60">
        <v>0</v>
      </c>
    </row>
    <row r="10" spans="1:5">
      <c r="A10" s="59" t="s">
        <v>194</v>
      </c>
      <c r="B10" s="59" t="s">
        <v>219</v>
      </c>
      <c r="C10" s="59" t="s">
        <v>220</v>
      </c>
      <c r="D10" s="59" t="s">
        <v>221</v>
      </c>
      <c r="E10" s="60">
        <v>1</v>
      </c>
    </row>
    <row r="11" spans="1:5">
      <c r="A11" s="59" t="s">
        <v>194</v>
      </c>
      <c r="B11" s="59" t="s">
        <v>222</v>
      </c>
      <c r="C11" s="59" t="s">
        <v>223</v>
      </c>
      <c r="D11" s="59" t="s">
        <v>224</v>
      </c>
      <c r="E11" s="60">
        <v>-1</v>
      </c>
    </row>
    <row r="12" spans="1:5">
      <c r="A12" s="59"/>
      <c r="B12" s="59"/>
      <c r="C12" s="59"/>
      <c r="D12" s="59"/>
      <c r="E12" s="60"/>
    </row>
    <row r="13" spans="1:5">
      <c r="A13" s="59"/>
      <c r="B13" s="59"/>
      <c r="C13" s="59"/>
      <c r="D13" s="59"/>
      <c r="E13" s="60"/>
    </row>
    <row r="14" spans="1:5">
      <c r="E14" s="62"/>
    </row>
    <row r="15" spans="1:5">
      <c r="E15" s="62"/>
    </row>
    <row r="16" spans="1:5">
      <c r="E16" s="62"/>
    </row>
    <row r="17" spans="5:5">
      <c r="E17" s="62"/>
    </row>
    <row r="18" spans="5:5">
      <c r="E18" s="62"/>
    </row>
    <row r="19" spans="5:5">
      <c r="E19" s="62"/>
    </row>
    <row r="20" spans="5:5">
      <c r="E20" s="62"/>
    </row>
    <row r="21" spans="5:5" ht="15.75" customHeight="1">
      <c r="E21" s="62"/>
    </row>
    <row r="22" spans="5:5" ht="15.75" customHeight="1">
      <c r="E22" s="62"/>
    </row>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11" xr:uid="{00000000-0009-0000-0000-000005000000}"/>
  <hyperlinks>
    <hyperlink ref="B5" r:id="rId1" xr:uid="{00000000-0004-0000-05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E1000"/>
  <sheetViews>
    <sheetView workbookViewId="0"/>
  </sheetViews>
  <sheetFormatPr defaultColWidth="14.42578125" defaultRowHeight="15" customHeight="1"/>
  <cols>
    <col min="1" max="1" width="8.7109375" customWidth="1"/>
    <col min="2" max="2" width="38.140625" customWidth="1"/>
    <col min="3" max="3" width="44.28515625" customWidth="1"/>
    <col min="4" max="4" width="97" customWidth="1"/>
    <col min="5" max="5" width="30.5703125" customWidth="1"/>
    <col min="6" max="26" width="8.7109375" customWidth="1"/>
  </cols>
  <sheetData>
    <row r="1" spans="1:5">
      <c r="A1" s="57" t="s">
        <v>56</v>
      </c>
      <c r="B1" s="57" t="s">
        <v>57</v>
      </c>
      <c r="C1" s="57" t="s">
        <v>58</v>
      </c>
      <c r="D1" s="57" t="s">
        <v>59</v>
      </c>
      <c r="E1" s="58" t="s">
        <v>60</v>
      </c>
    </row>
    <row r="2" spans="1:5" hidden="1">
      <c r="A2" s="59" t="s">
        <v>225</v>
      </c>
      <c r="B2" s="59" t="s">
        <v>226</v>
      </c>
      <c r="C2" s="59" t="s">
        <v>227</v>
      </c>
      <c r="D2" s="59" t="s">
        <v>228</v>
      </c>
      <c r="E2" s="59">
        <v>1</v>
      </c>
    </row>
    <row r="3" spans="1:5" hidden="1">
      <c r="A3" s="59" t="s">
        <v>225</v>
      </c>
      <c r="B3" s="59" t="s">
        <v>229</v>
      </c>
      <c r="C3" s="59" t="s">
        <v>230</v>
      </c>
      <c r="D3" s="59" t="s">
        <v>231</v>
      </c>
      <c r="E3" s="2">
        <v>0</v>
      </c>
    </row>
    <row r="4" spans="1:5">
      <c r="A4" s="59" t="s">
        <v>225</v>
      </c>
      <c r="B4" s="59" t="s">
        <v>232</v>
      </c>
      <c r="C4" s="59" t="s">
        <v>233</v>
      </c>
      <c r="D4" s="59" t="s">
        <v>234</v>
      </c>
      <c r="E4" s="59">
        <v>-1</v>
      </c>
    </row>
    <row r="5" spans="1:5" hidden="1">
      <c r="A5" s="59" t="s">
        <v>225</v>
      </c>
      <c r="B5" s="64" t="s">
        <v>235</v>
      </c>
      <c r="C5" s="59" t="s">
        <v>236</v>
      </c>
      <c r="D5" s="59" t="s">
        <v>237</v>
      </c>
      <c r="E5" s="59">
        <v>1</v>
      </c>
    </row>
    <row r="6" spans="1:5" hidden="1">
      <c r="A6" s="59" t="s">
        <v>225</v>
      </c>
      <c r="B6" s="59" t="s">
        <v>238</v>
      </c>
      <c r="C6" s="59" t="s">
        <v>239</v>
      </c>
      <c r="D6" s="59" t="s">
        <v>240</v>
      </c>
      <c r="E6" s="59"/>
    </row>
    <row r="7" spans="1:5" hidden="1">
      <c r="A7" s="59" t="s">
        <v>225</v>
      </c>
      <c r="B7" s="59" t="s">
        <v>241</v>
      </c>
      <c r="C7" s="59" t="s">
        <v>242</v>
      </c>
      <c r="D7" s="59" t="s">
        <v>243</v>
      </c>
      <c r="E7" s="59">
        <v>0</v>
      </c>
    </row>
    <row r="8" spans="1:5" hidden="1">
      <c r="A8" s="59" t="s">
        <v>225</v>
      </c>
      <c r="B8" s="59" t="s">
        <v>244</v>
      </c>
      <c r="C8" s="59" t="s">
        <v>245</v>
      </c>
      <c r="D8" s="59" t="s">
        <v>246</v>
      </c>
      <c r="E8" s="59">
        <v>1</v>
      </c>
    </row>
    <row r="9" spans="1:5" hidden="1">
      <c r="A9" s="59" t="s">
        <v>225</v>
      </c>
      <c r="B9" s="59" t="s">
        <v>247</v>
      </c>
      <c r="C9" s="59" t="s">
        <v>248</v>
      </c>
      <c r="D9" s="59" t="s">
        <v>249</v>
      </c>
      <c r="E9" s="65">
        <v>1</v>
      </c>
    </row>
    <row r="10" spans="1:5">
      <c r="A10" s="59"/>
      <c r="B10" s="59"/>
      <c r="C10" s="59"/>
      <c r="D10" s="59"/>
      <c r="E10" s="65"/>
    </row>
    <row r="11" spans="1:5">
      <c r="E11" s="62"/>
    </row>
    <row r="12" spans="1:5">
      <c r="E12" s="62"/>
    </row>
    <row r="13" spans="1:5">
      <c r="E13" s="62"/>
    </row>
    <row r="14" spans="1:5">
      <c r="E14" s="62"/>
    </row>
    <row r="15" spans="1:5">
      <c r="E15" s="62"/>
    </row>
    <row r="16" spans="1:5">
      <c r="E16" s="62"/>
    </row>
    <row r="17" spans="5:5">
      <c r="E17" s="62"/>
    </row>
    <row r="18" spans="5:5">
      <c r="E18" s="62"/>
    </row>
    <row r="19" spans="5:5">
      <c r="E19" s="62"/>
    </row>
    <row r="20" spans="5:5">
      <c r="E20" s="62"/>
    </row>
    <row r="21" spans="5:5" ht="15.75" customHeight="1">
      <c r="E21" s="62"/>
    </row>
    <row r="22" spans="5:5" ht="15.75" customHeight="1">
      <c r="E22" s="62"/>
    </row>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9" xr:uid="{00000000-0009-0000-0000-000006000000}">
    <filterColumn colId="4">
      <filters>
        <filter val="-1"/>
      </filters>
    </filterColumn>
  </autoFilter>
  <hyperlinks>
    <hyperlink ref="B5" r:id="rId1" xr:uid="{00000000-0004-0000-06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E1000"/>
  <sheetViews>
    <sheetView workbookViewId="0"/>
  </sheetViews>
  <sheetFormatPr defaultColWidth="14.42578125" defaultRowHeight="15" customHeight="1"/>
  <cols>
    <col min="1" max="2" width="8.7109375" customWidth="1"/>
    <col min="3" max="3" width="52.5703125" customWidth="1"/>
    <col min="4" max="4" width="132.42578125" customWidth="1"/>
    <col min="5" max="26" width="8.7109375" customWidth="1"/>
  </cols>
  <sheetData>
    <row r="1" spans="1:5">
      <c r="A1" s="57" t="s">
        <v>56</v>
      </c>
      <c r="B1" s="57" t="s">
        <v>57</v>
      </c>
      <c r="C1" s="57" t="s">
        <v>58</v>
      </c>
      <c r="D1" s="57" t="s">
        <v>59</v>
      </c>
      <c r="E1" s="66" t="s">
        <v>60</v>
      </c>
    </row>
    <row r="2" spans="1:5" hidden="1">
      <c r="A2" s="59" t="s">
        <v>250</v>
      </c>
      <c r="B2" s="59" t="s">
        <v>251</v>
      </c>
      <c r="C2" s="59" t="s">
        <v>252</v>
      </c>
      <c r="D2" s="59" t="s">
        <v>253</v>
      </c>
      <c r="E2" s="60">
        <v>1</v>
      </c>
    </row>
    <row r="3" spans="1:5" hidden="1">
      <c r="A3" s="59" t="s">
        <v>250</v>
      </c>
      <c r="B3" s="59" t="s">
        <v>254</v>
      </c>
      <c r="C3" s="59" t="s">
        <v>255</v>
      </c>
      <c r="D3" s="59" t="s">
        <v>256</v>
      </c>
      <c r="E3" s="60">
        <v>0</v>
      </c>
    </row>
    <row r="4" spans="1:5" hidden="1">
      <c r="A4" s="59" t="s">
        <v>250</v>
      </c>
      <c r="B4" s="59" t="s">
        <v>257</v>
      </c>
      <c r="C4" s="59" t="s">
        <v>258</v>
      </c>
      <c r="D4" s="59" t="s">
        <v>259</v>
      </c>
      <c r="E4" s="60">
        <v>1</v>
      </c>
    </row>
    <row r="5" spans="1:5" hidden="1">
      <c r="A5" s="59" t="s">
        <v>250</v>
      </c>
      <c r="B5" s="59" t="s">
        <v>260</v>
      </c>
      <c r="C5" s="59" t="s">
        <v>261</v>
      </c>
      <c r="D5" s="59" t="s">
        <v>262</v>
      </c>
      <c r="E5" s="60">
        <v>1</v>
      </c>
    </row>
    <row r="6" spans="1:5" hidden="1">
      <c r="A6" s="59" t="s">
        <v>250</v>
      </c>
      <c r="B6" s="59" t="s">
        <v>263</v>
      </c>
      <c r="C6" s="59" t="s">
        <v>264</v>
      </c>
      <c r="D6" s="59" t="s">
        <v>265</v>
      </c>
      <c r="E6" s="60">
        <v>0</v>
      </c>
    </row>
    <row r="7" spans="1:5" hidden="1">
      <c r="A7" s="59" t="s">
        <v>250</v>
      </c>
      <c r="B7" s="59" t="s">
        <v>266</v>
      </c>
      <c r="C7" s="59" t="s">
        <v>267</v>
      </c>
      <c r="D7" s="59" t="s">
        <v>268</v>
      </c>
      <c r="E7" s="60">
        <v>0</v>
      </c>
    </row>
    <row r="8" spans="1:5">
      <c r="A8" s="59" t="s">
        <v>250</v>
      </c>
      <c r="B8" s="59" t="s">
        <v>269</v>
      </c>
      <c r="C8" s="59" t="s">
        <v>270</v>
      </c>
      <c r="D8" s="59" t="s">
        <v>271</v>
      </c>
      <c r="E8" s="65">
        <v>-1</v>
      </c>
    </row>
    <row r="10" spans="1:5">
      <c r="E10" s="62"/>
    </row>
    <row r="11" spans="1:5">
      <c r="E11" s="62"/>
    </row>
    <row r="12" spans="1:5">
      <c r="E12" s="62"/>
    </row>
    <row r="13" spans="1:5">
      <c r="E13" s="62"/>
    </row>
    <row r="14" spans="1:5">
      <c r="E14" s="62"/>
    </row>
    <row r="15" spans="1:5">
      <c r="E15" s="62"/>
    </row>
    <row r="16" spans="1:5">
      <c r="E16" s="62"/>
    </row>
    <row r="17" spans="5:5">
      <c r="E17" s="62"/>
    </row>
    <row r="18" spans="5:5">
      <c r="E18" s="62"/>
    </row>
    <row r="19" spans="5:5">
      <c r="E19" s="62"/>
    </row>
    <row r="20" spans="5:5">
      <c r="E20" s="62"/>
    </row>
    <row r="21" spans="5:5" ht="15.75" customHeight="1">
      <c r="E21" s="62"/>
    </row>
    <row r="22" spans="5:5" ht="15.75" customHeight="1">
      <c r="E22" s="62"/>
    </row>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8" xr:uid="{00000000-0009-0000-0000-000007000000}">
    <filterColumn colId="4">
      <filters>
        <filter val="-1"/>
      </filters>
    </filterColumn>
  </autoFilter>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E1000"/>
  <sheetViews>
    <sheetView workbookViewId="0"/>
  </sheetViews>
  <sheetFormatPr defaultColWidth="14.42578125" defaultRowHeight="15" customHeight="1"/>
  <cols>
    <col min="1" max="1" width="9" customWidth="1"/>
    <col min="2" max="2" width="12.7109375" customWidth="1"/>
    <col min="3" max="3" width="38.28515625" customWidth="1"/>
    <col min="4" max="4" width="132.42578125" customWidth="1"/>
    <col min="5" max="5" width="6.5703125" customWidth="1"/>
    <col min="6" max="26" width="8.7109375" customWidth="1"/>
  </cols>
  <sheetData>
    <row r="1" spans="1:5">
      <c r="A1" s="57" t="s">
        <v>56</v>
      </c>
      <c r="B1" s="57" t="s">
        <v>57</v>
      </c>
      <c r="C1" s="57" t="s">
        <v>58</v>
      </c>
      <c r="D1" s="57" t="s">
        <v>59</v>
      </c>
      <c r="E1" s="66" t="s">
        <v>60</v>
      </c>
    </row>
    <row r="2" spans="1:5">
      <c r="A2" s="59" t="s">
        <v>250</v>
      </c>
      <c r="B2" s="59" t="s">
        <v>260</v>
      </c>
      <c r="C2" s="59" t="s">
        <v>261</v>
      </c>
      <c r="D2" s="59" t="s">
        <v>272</v>
      </c>
      <c r="E2" s="60">
        <v>1</v>
      </c>
    </row>
    <row r="3" spans="1:5" hidden="1">
      <c r="A3" s="59" t="s">
        <v>250</v>
      </c>
      <c r="B3" s="59" t="s">
        <v>273</v>
      </c>
      <c r="C3" s="59" t="s">
        <v>255</v>
      </c>
      <c r="D3" s="59" t="s">
        <v>256</v>
      </c>
      <c r="E3" s="60">
        <v>0</v>
      </c>
    </row>
    <row r="4" spans="1:5" hidden="1">
      <c r="A4" s="59" t="s">
        <v>250</v>
      </c>
      <c r="B4" s="59" t="s">
        <v>274</v>
      </c>
      <c r="C4" s="59" t="s">
        <v>275</v>
      </c>
      <c r="D4" s="59" t="s">
        <v>276</v>
      </c>
      <c r="E4" s="60">
        <v>-1</v>
      </c>
    </row>
    <row r="5" spans="1:5">
      <c r="A5" s="59"/>
      <c r="B5" s="59"/>
      <c r="C5" s="59"/>
      <c r="D5" s="59"/>
      <c r="E5" s="60"/>
    </row>
    <row r="6" spans="1:5">
      <c r="E6" s="62"/>
    </row>
    <row r="7" spans="1:5">
      <c r="E7" s="62"/>
    </row>
    <row r="8" spans="1:5">
      <c r="E8" s="62"/>
    </row>
    <row r="9" spans="1:5">
      <c r="E9" s="62"/>
    </row>
    <row r="10" spans="1:5">
      <c r="E10" s="62"/>
    </row>
    <row r="11" spans="1:5">
      <c r="E11" s="62"/>
    </row>
    <row r="12" spans="1:5">
      <c r="E12" s="62"/>
    </row>
    <row r="13" spans="1:5">
      <c r="E13" s="62"/>
    </row>
    <row r="14" spans="1:5">
      <c r="E14" s="62"/>
    </row>
    <row r="15" spans="1:5">
      <c r="E15" s="62"/>
    </row>
    <row r="16" spans="1:5">
      <c r="E16" s="62"/>
    </row>
    <row r="17" spans="5:5">
      <c r="E17" s="62"/>
    </row>
    <row r="18" spans="5:5">
      <c r="E18" s="62"/>
    </row>
    <row r="19" spans="5:5">
      <c r="E19" s="62"/>
    </row>
    <row r="20" spans="5:5">
      <c r="E20" s="62"/>
    </row>
    <row r="21" spans="5:5" ht="15.75" customHeight="1">
      <c r="E21" s="62"/>
    </row>
    <row r="22" spans="5:5" ht="15.75" customHeight="1">
      <c r="E22" s="62"/>
    </row>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4" xr:uid="{00000000-0009-0000-0000-000008000000}">
    <filterColumn colId="4">
      <filters>
        <filter val="1"/>
      </filters>
    </filterColumn>
  </autoFilter>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E1000"/>
  <sheetViews>
    <sheetView workbookViewId="0"/>
  </sheetViews>
  <sheetFormatPr defaultColWidth="14.42578125" defaultRowHeight="15" customHeight="1"/>
  <cols>
    <col min="1" max="1" width="26.85546875" customWidth="1"/>
    <col min="2" max="2" width="12.140625" customWidth="1"/>
    <col min="3" max="3" width="45.85546875" customWidth="1"/>
    <col min="4" max="4" width="54.85546875" customWidth="1"/>
    <col min="5" max="5" width="6.42578125" customWidth="1"/>
    <col min="6" max="26" width="8.7109375" customWidth="1"/>
  </cols>
  <sheetData>
    <row r="1" spans="1:5">
      <c r="A1" s="57" t="s">
        <v>56</v>
      </c>
      <c r="B1" s="57" t="s">
        <v>57</v>
      </c>
      <c r="C1" s="57" t="s">
        <v>58</v>
      </c>
      <c r="D1" s="57" t="s">
        <v>59</v>
      </c>
      <c r="E1" s="66" t="s">
        <v>60</v>
      </c>
    </row>
    <row r="2" spans="1:5">
      <c r="A2" s="59" t="s">
        <v>277</v>
      </c>
      <c r="B2" s="59" t="s">
        <v>278</v>
      </c>
      <c r="C2" s="59" t="s">
        <v>279</v>
      </c>
      <c r="D2" s="59" t="s">
        <v>280</v>
      </c>
      <c r="E2" s="60">
        <v>1</v>
      </c>
    </row>
    <row r="3" spans="1:5">
      <c r="A3" s="59" t="s">
        <v>277</v>
      </c>
      <c r="B3" s="59" t="s">
        <v>59</v>
      </c>
      <c r="C3" s="59" t="s">
        <v>95</v>
      </c>
      <c r="D3" s="59" t="s">
        <v>281</v>
      </c>
      <c r="E3" s="60">
        <v>1</v>
      </c>
    </row>
    <row r="4" spans="1:5">
      <c r="A4" s="59" t="s">
        <v>277</v>
      </c>
      <c r="B4" s="59" t="s">
        <v>282</v>
      </c>
      <c r="C4" s="59" t="s">
        <v>283</v>
      </c>
      <c r="D4" s="59" t="s">
        <v>284</v>
      </c>
      <c r="E4" s="60">
        <v>1</v>
      </c>
    </row>
    <row r="5" spans="1:5" hidden="1">
      <c r="A5" s="59" t="s">
        <v>277</v>
      </c>
      <c r="B5" s="59" t="s">
        <v>285</v>
      </c>
      <c r="C5" s="78" t="s">
        <v>286</v>
      </c>
      <c r="D5" s="69"/>
      <c r="E5" s="60">
        <v>0</v>
      </c>
    </row>
    <row r="6" spans="1:5" hidden="1">
      <c r="A6" s="59" t="s">
        <v>277</v>
      </c>
      <c r="B6" s="59" t="s">
        <v>287</v>
      </c>
      <c r="C6" s="59" t="s">
        <v>288</v>
      </c>
      <c r="D6" s="59" t="s">
        <v>289</v>
      </c>
      <c r="E6" s="60">
        <v>0</v>
      </c>
    </row>
    <row r="7" spans="1:5">
      <c r="A7" s="59" t="s">
        <v>277</v>
      </c>
      <c r="B7" s="59" t="s">
        <v>290</v>
      </c>
      <c r="C7" s="59" t="s">
        <v>291</v>
      </c>
      <c r="D7" s="59" t="s">
        <v>292</v>
      </c>
      <c r="E7" s="60">
        <v>1</v>
      </c>
    </row>
    <row r="8" spans="1:5">
      <c r="A8" s="59" t="s">
        <v>277</v>
      </c>
      <c r="B8" s="59" t="s">
        <v>293</v>
      </c>
      <c r="C8" s="59" t="s">
        <v>294</v>
      </c>
      <c r="D8" s="59" t="s">
        <v>295</v>
      </c>
      <c r="E8" s="60">
        <v>1</v>
      </c>
    </row>
    <row r="9" spans="1:5">
      <c r="A9" s="59" t="s">
        <v>277</v>
      </c>
      <c r="B9" s="59" t="s">
        <v>296</v>
      </c>
      <c r="C9" s="59" t="s">
        <v>297</v>
      </c>
      <c r="D9" s="59" t="s">
        <v>298</v>
      </c>
      <c r="E9" s="60">
        <v>1</v>
      </c>
    </row>
    <row r="10" spans="1:5" hidden="1">
      <c r="A10" s="59" t="s">
        <v>277</v>
      </c>
      <c r="B10" s="59" t="s">
        <v>299</v>
      </c>
      <c r="C10" s="59" t="s">
        <v>300</v>
      </c>
      <c r="D10" s="59" t="s">
        <v>301</v>
      </c>
      <c r="E10" s="60">
        <v>-1</v>
      </c>
    </row>
    <row r="11" spans="1:5">
      <c r="A11" s="59" t="s">
        <v>277</v>
      </c>
      <c r="B11" s="59" t="s">
        <v>302</v>
      </c>
      <c r="C11" s="59" t="s">
        <v>303</v>
      </c>
      <c r="D11" s="59" t="s">
        <v>304</v>
      </c>
      <c r="E11" s="60">
        <v>1</v>
      </c>
    </row>
    <row r="12" spans="1:5">
      <c r="E12" s="62"/>
    </row>
    <row r="13" spans="1:5">
      <c r="E13" s="62"/>
    </row>
    <row r="14" spans="1:5">
      <c r="E14" s="62"/>
    </row>
    <row r="15" spans="1:5">
      <c r="E15" s="62"/>
    </row>
    <row r="16" spans="1:5">
      <c r="E16" s="62"/>
    </row>
    <row r="17" spans="5:5">
      <c r="E17" s="62"/>
    </row>
    <row r="18" spans="5:5">
      <c r="E18" s="62"/>
    </row>
    <row r="19" spans="5:5">
      <c r="E19" s="62"/>
    </row>
    <row r="20" spans="5:5">
      <c r="E20" s="62"/>
    </row>
    <row r="21" spans="5:5" ht="15.75" customHeight="1">
      <c r="E21" s="62"/>
    </row>
    <row r="22" spans="5:5" ht="15.75" customHeight="1">
      <c r="E22" s="62"/>
    </row>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autoFilter ref="A1:E11" xr:uid="{00000000-0009-0000-0000-000009000000}">
    <filterColumn colId="4">
      <filters>
        <filter val="1"/>
      </filters>
    </filterColumn>
  </autoFilter>
  <mergeCells count="1">
    <mergeCell ref="C5:D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workbookViewId="0"/>
  </sheetViews>
  <sheetFormatPr defaultColWidth="14.42578125" defaultRowHeight="15" customHeight="1"/>
  <cols>
    <col min="1" max="1" width="21.140625" customWidth="1"/>
    <col min="2" max="2" width="28" customWidth="1"/>
    <col min="3" max="3" width="38.140625" customWidth="1"/>
    <col min="4" max="4" width="124.7109375" customWidth="1"/>
    <col min="5" max="5" width="6.42578125" customWidth="1"/>
    <col min="6" max="26" width="8.7109375" customWidth="1"/>
  </cols>
  <sheetData>
    <row r="1" spans="1:5">
      <c r="A1" s="57" t="s">
        <v>56</v>
      </c>
      <c r="B1" s="57" t="s">
        <v>57</v>
      </c>
      <c r="C1" s="57" t="s">
        <v>58</v>
      </c>
      <c r="D1" s="57" t="s">
        <v>59</v>
      </c>
      <c r="E1" s="66" t="s">
        <v>60</v>
      </c>
    </row>
    <row r="2" spans="1:5">
      <c r="A2" s="59" t="s">
        <v>305</v>
      </c>
      <c r="B2" s="59" t="s">
        <v>306</v>
      </c>
      <c r="C2" s="59" t="s">
        <v>307</v>
      </c>
      <c r="D2" s="59" t="s">
        <v>308</v>
      </c>
      <c r="E2" s="60">
        <v>-1</v>
      </c>
    </row>
    <row r="3" spans="1:5">
      <c r="A3" s="59" t="s">
        <v>305</v>
      </c>
      <c r="B3" s="59" t="s">
        <v>309</v>
      </c>
      <c r="C3" s="59" t="s">
        <v>310</v>
      </c>
      <c r="D3" s="59" t="s">
        <v>311</v>
      </c>
      <c r="E3" s="60">
        <v>-1</v>
      </c>
    </row>
    <row r="4" spans="1:5">
      <c r="A4" s="59" t="s">
        <v>305</v>
      </c>
      <c r="B4" s="59" t="s">
        <v>312</v>
      </c>
      <c r="C4" s="59" t="s">
        <v>313</v>
      </c>
      <c r="D4" s="59" t="s">
        <v>314</v>
      </c>
      <c r="E4" s="60">
        <v>0</v>
      </c>
    </row>
    <row r="5" spans="1:5">
      <c r="A5" s="59" t="s">
        <v>305</v>
      </c>
      <c r="B5" s="59" t="s">
        <v>315</v>
      </c>
      <c r="C5" s="59" t="s">
        <v>316</v>
      </c>
      <c r="D5" s="59" t="s">
        <v>317</v>
      </c>
      <c r="E5" s="60">
        <v>1</v>
      </c>
    </row>
    <row r="6" spans="1:5">
      <c r="A6" s="59" t="s">
        <v>305</v>
      </c>
      <c r="B6" s="59" t="s">
        <v>318</v>
      </c>
      <c r="C6" s="59" t="s">
        <v>319</v>
      </c>
      <c r="D6" s="59" t="s">
        <v>320</v>
      </c>
      <c r="E6" s="60">
        <v>0</v>
      </c>
    </row>
    <row r="7" spans="1:5">
      <c r="A7" s="59" t="s">
        <v>305</v>
      </c>
      <c r="B7" s="59" t="s">
        <v>321</v>
      </c>
      <c r="C7" s="59" t="s">
        <v>322</v>
      </c>
      <c r="D7" s="59" t="s">
        <v>323</v>
      </c>
      <c r="E7" s="60">
        <v>1</v>
      </c>
    </row>
    <row r="8" spans="1:5">
      <c r="A8" s="59" t="s">
        <v>305</v>
      </c>
      <c r="B8" s="59" t="s">
        <v>324</v>
      </c>
      <c r="C8" s="59" t="s">
        <v>325</v>
      </c>
      <c r="D8" s="59" t="s">
        <v>326</v>
      </c>
      <c r="E8" s="60">
        <v>0</v>
      </c>
    </row>
    <row r="9" spans="1:5">
      <c r="A9" s="59" t="s">
        <v>305</v>
      </c>
      <c r="B9" s="59" t="s">
        <v>327</v>
      </c>
      <c r="C9" s="59" t="s">
        <v>328</v>
      </c>
      <c r="D9" s="59" t="s">
        <v>329</v>
      </c>
      <c r="E9" s="60">
        <v>-1</v>
      </c>
    </row>
    <row r="10" spans="1:5">
      <c r="A10" s="59" t="s">
        <v>305</v>
      </c>
      <c r="B10" s="59" t="s">
        <v>330</v>
      </c>
      <c r="C10" s="59" t="s">
        <v>331</v>
      </c>
      <c r="D10" s="59" t="s">
        <v>332</v>
      </c>
      <c r="E10" s="60">
        <v>-1</v>
      </c>
    </row>
    <row r="11" spans="1:5">
      <c r="A11" s="59" t="s">
        <v>305</v>
      </c>
      <c r="B11" s="59" t="s">
        <v>333</v>
      </c>
      <c r="C11" s="59" t="s">
        <v>334</v>
      </c>
      <c r="D11" s="59" t="s">
        <v>335</v>
      </c>
      <c r="E11" s="60">
        <v>0</v>
      </c>
    </row>
    <row r="12" spans="1:5">
      <c r="A12" s="59" t="s">
        <v>305</v>
      </c>
      <c r="B12" s="59" t="s">
        <v>336</v>
      </c>
      <c r="C12" s="59" t="s">
        <v>337</v>
      </c>
      <c r="D12" s="59" t="s">
        <v>338</v>
      </c>
      <c r="E12" s="60">
        <v>-1</v>
      </c>
    </row>
    <row r="13" spans="1:5">
      <c r="A13" s="59" t="s">
        <v>305</v>
      </c>
      <c r="B13" s="59" t="s">
        <v>339</v>
      </c>
      <c r="C13" s="59" t="s">
        <v>340</v>
      </c>
      <c r="D13" s="59" t="s">
        <v>341</v>
      </c>
      <c r="E13" s="60">
        <v>-1</v>
      </c>
    </row>
    <row r="14" spans="1:5">
      <c r="A14" s="59"/>
      <c r="B14" s="59"/>
      <c r="C14" s="59"/>
      <c r="D14" s="59"/>
      <c r="E14" s="60"/>
    </row>
    <row r="15" spans="1:5">
      <c r="A15" s="59"/>
      <c r="B15" s="59"/>
      <c r="C15" s="59"/>
      <c r="D15" s="59"/>
      <c r="E15" s="60"/>
    </row>
    <row r="16" spans="1:5">
      <c r="A16" s="59"/>
      <c r="B16" s="59"/>
      <c r="C16" s="59"/>
      <c r="D16" s="59"/>
      <c r="E16" s="65"/>
    </row>
    <row r="17" spans="1:5">
      <c r="A17" s="67"/>
      <c r="B17" s="67"/>
      <c r="C17" s="67"/>
      <c r="D17" s="67"/>
      <c r="E17" s="62"/>
    </row>
    <row r="18" spans="1:5">
      <c r="E18" s="62"/>
    </row>
    <row r="19" spans="1:5">
      <c r="E19" s="62"/>
    </row>
    <row r="20" spans="1:5">
      <c r="E20" s="62"/>
    </row>
    <row r="21" spans="1:5" ht="15.75" customHeight="1">
      <c r="E21" s="62"/>
    </row>
    <row r="22" spans="1:5" ht="15.75" customHeight="1">
      <c r="E22" s="62"/>
    </row>
    <row r="23" spans="1:5" ht="15.75" customHeight="1">
      <c r="E23" s="62"/>
    </row>
    <row r="24" spans="1:5" ht="15.75" customHeight="1">
      <c r="E24" s="62"/>
    </row>
    <row r="25" spans="1:5" ht="15.75" customHeight="1">
      <c r="E25" s="62"/>
    </row>
    <row r="26" spans="1:5" ht="15.75" customHeight="1">
      <c r="E26" s="62"/>
    </row>
    <row r="27" spans="1:5" ht="15.75" customHeight="1">
      <c r="E27" s="62"/>
    </row>
    <row r="28" spans="1:5" ht="15.75" customHeight="1">
      <c r="E28" s="62"/>
    </row>
    <row r="29" spans="1:5" ht="15.75" customHeight="1">
      <c r="E29" s="62"/>
    </row>
    <row r="30" spans="1:5" ht="15.75" customHeight="1">
      <c r="E30" s="62"/>
    </row>
    <row r="31" spans="1:5" ht="15.75" customHeight="1">
      <c r="E31" s="62"/>
    </row>
    <row r="32" spans="1: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heetViews>
  <sheetFormatPr defaultColWidth="14.42578125" defaultRowHeight="15" customHeight="1"/>
  <cols>
    <col min="1" max="1" width="8.7109375" customWidth="1"/>
    <col min="2" max="2" width="24.85546875" customWidth="1"/>
    <col min="3" max="3" width="50.85546875" customWidth="1"/>
    <col min="4" max="4" width="89.28515625" customWidth="1"/>
    <col min="5" max="26" width="8.7109375" customWidth="1"/>
  </cols>
  <sheetData>
    <row r="1" spans="1:5">
      <c r="A1" s="57" t="s">
        <v>56</v>
      </c>
      <c r="B1" s="57" t="s">
        <v>57</v>
      </c>
      <c r="C1" s="57" t="s">
        <v>58</v>
      </c>
      <c r="D1" s="57" t="s">
        <v>59</v>
      </c>
      <c r="E1" s="66" t="s">
        <v>60</v>
      </c>
    </row>
    <row r="2" spans="1:5">
      <c r="A2" s="59" t="s">
        <v>342</v>
      </c>
      <c r="B2" s="59" t="s">
        <v>343</v>
      </c>
      <c r="C2" s="59" t="s">
        <v>344</v>
      </c>
      <c r="D2" s="59" t="s">
        <v>345</v>
      </c>
      <c r="E2" s="60">
        <v>0</v>
      </c>
    </row>
    <row r="3" spans="1:5">
      <c r="A3" s="59" t="s">
        <v>342</v>
      </c>
      <c r="B3" s="59" t="s">
        <v>306</v>
      </c>
      <c r="C3" s="59" t="s">
        <v>307</v>
      </c>
      <c r="D3" s="59" t="s">
        <v>308</v>
      </c>
      <c r="E3" s="60">
        <v>-1</v>
      </c>
    </row>
    <row r="4" spans="1:5">
      <c r="A4" s="59" t="s">
        <v>342</v>
      </c>
      <c r="B4" s="59" t="s">
        <v>309</v>
      </c>
      <c r="C4" s="59" t="s">
        <v>310</v>
      </c>
      <c r="D4" s="59" t="s">
        <v>311</v>
      </c>
      <c r="E4" s="60">
        <v>0</v>
      </c>
    </row>
    <row r="5" spans="1:5">
      <c r="A5" s="59" t="s">
        <v>342</v>
      </c>
      <c r="B5" s="59" t="s">
        <v>312</v>
      </c>
      <c r="C5" s="59" t="s">
        <v>313</v>
      </c>
      <c r="D5" s="59" t="s">
        <v>314</v>
      </c>
      <c r="E5" s="60">
        <v>0</v>
      </c>
    </row>
    <row r="6" spans="1:5">
      <c r="A6" s="59" t="s">
        <v>342</v>
      </c>
      <c r="B6" s="59" t="s">
        <v>318</v>
      </c>
      <c r="C6" s="59" t="s">
        <v>319</v>
      </c>
      <c r="D6" s="59" t="s">
        <v>346</v>
      </c>
      <c r="E6" s="60">
        <v>-1</v>
      </c>
    </row>
    <row r="7" spans="1:5">
      <c r="A7" s="59" t="s">
        <v>342</v>
      </c>
      <c r="B7" s="64" t="s">
        <v>347</v>
      </c>
      <c r="C7" s="59" t="s">
        <v>348</v>
      </c>
      <c r="D7" s="59" t="s">
        <v>349</v>
      </c>
      <c r="E7" s="60">
        <v>0</v>
      </c>
    </row>
    <row r="8" spans="1:5">
      <c r="A8" s="59" t="s">
        <v>342</v>
      </c>
      <c r="B8" s="59" t="s">
        <v>350</v>
      </c>
      <c r="C8" s="59" t="s">
        <v>351</v>
      </c>
      <c r="D8" s="59" t="s">
        <v>352</v>
      </c>
      <c r="E8" s="60">
        <v>0</v>
      </c>
    </row>
    <row r="9" spans="1:5">
      <c r="A9" s="59" t="s">
        <v>342</v>
      </c>
      <c r="B9" s="59" t="s">
        <v>324</v>
      </c>
      <c r="C9" s="59" t="s">
        <v>353</v>
      </c>
      <c r="D9" s="59" t="s">
        <v>354</v>
      </c>
      <c r="E9" s="60">
        <v>0</v>
      </c>
    </row>
    <row r="10" spans="1:5">
      <c r="A10" s="59" t="s">
        <v>342</v>
      </c>
      <c r="B10" s="59" t="s">
        <v>355</v>
      </c>
      <c r="C10" s="59" t="s">
        <v>356</v>
      </c>
      <c r="D10" s="59" t="s">
        <v>357</v>
      </c>
      <c r="E10" s="60">
        <v>0</v>
      </c>
    </row>
    <row r="11" spans="1:5">
      <c r="A11" s="59" t="s">
        <v>342</v>
      </c>
      <c r="B11" s="59" t="s">
        <v>330</v>
      </c>
      <c r="C11" s="59" t="s">
        <v>331</v>
      </c>
      <c r="D11" s="59" t="s">
        <v>332</v>
      </c>
      <c r="E11" s="60">
        <v>0</v>
      </c>
    </row>
    <row r="12" spans="1:5">
      <c r="A12" s="59" t="s">
        <v>342</v>
      </c>
      <c r="B12" s="59" t="s">
        <v>333</v>
      </c>
      <c r="C12" s="59" t="s">
        <v>334</v>
      </c>
      <c r="D12" s="59" t="s">
        <v>358</v>
      </c>
      <c r="E12" s="60">
        <v>-1</v>
      </c>
    </row>
    <row r="13" spans="1:5">
      <c r="A13" s="59" t="s">
        <v>342</v>
      </c>
      <c r="B13" s="59" t="s">
        <v>336</v>
      </c>
      <c r="C13" s="59" t="s">
        <v>337</v>
      </c>
      <c r="D13" s="59" t="s">
        <v>338</v>
      </c>
      <c r="E13" s="59">
        <v>0</v>
      </c>
    </row>
    <row r="14" spans="1:5">
      <c r="E14" s="62"/>
    </row>
    <row r="15" spans="1:5">
      <c r="E15" s="62"/>
    </row>
    <row r="16" spans="1:5">
      <c r="E16" s="62"/>
    </row>
    <row r="17" spans="5:5">
      <c r="E17" s="62"/>
    </row>
    <row r="18" spans="5:5">
      <c r="E18" s="62"/>
    </row>
    <row r="19" spans="5:5">
      <c r="E19" s="62"/>
    </row>
    <row r="20" spans="5:5">
      <c r="E20" s="62"/>
    </row>
    <row r="21" spans="5:5" ht="15.75" customHeight="1">
      <c r="E21" s="62"/>
    </row>
    <row r="22" spans="5:5" ht="15.75" customHeight="1">
      <c r="E22" s="62"/>
    </row>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hyperlinks>
    <hyperlink ref="B7" r:id="rId1" xr:uid="{00000000-0004-0000-0B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sheetViews>
  <sheetFormatPr defaultColWidth="14.42578125" defaultRowHeight="15" customHeight="1"/>
  <cols>
    <col min="1" max="1" width="18.85546875" customWidth="1"/>
    <col min="2" max="2" width="28.7109375" customWidth="1"/>
    <col min="3" max="3" width="47.140625" customWidth="1"/>
    <col min="4" max="4" width="81" customWidth="1"/>
    <col min="5" max="26" width="8.7109375" customWidth="1"/>
  </cols>
  <sheetData>
    <row r="1" spans="1:5">
      <c r="A1" s="57" t="s">
        <v>56</v>
      </c>
      <c r="B1" s="57" t="s">
        <v>57</v>
      </c>
      <c r="C1" s="57" t="s">
        <v>58</v>
      </c>
      <c r="D1" s="57" t="s">
        <v>59</v>
      </c>
      <c r="E1" s="66" t="s">
        <v>359</v>
      </c>
    </row>
    <row r="2" spans="1:5">
      <c r="A2" s="59" t="s">
        <v>360</v>
      </c>
      <c r="B2" s="59" t="s">
        <v>361</v>
      </c>
      <c r="C2" s="59" t="s">
        <v>245</v>
      </c>
      <c r="D2" s="59" t="s">
        <v>362</v>
      </c>
      <c r="E2" s="60">
        <v>0</v>
      </c>
    </row>
    <row r="21" spans="5:5" ht="15.75" customHeight="1"/>
    <row r="22" spans="5:5" ht="15.75" customHeight="1"/>
    <row r="23" spans="5:5" ht="15.75" customHeight="1">
      <c r="E23" s="62"/>
    </row>
    <row r="24" spans="5:5" ht="15.75" customHeight="1">
      <c r="E24" s="62"/>
    </row>
    <row r="25" spans="5:5" ht="15.75" customHeight="1">
      <c r="E25" s="62"/>
    </row>
    <row r="26" spans="5:5" ht="15.75" customHeight="1">
      <c r="E26" s="62"/>
    </row>
    <row r="27" spans="5:5" ht="15.75" customHeight="1">
      <c r="E27" s="62"/>
    </row>
    <row r="28" spans="5:5" ht="15.75" customHeight="1">
      <c r="E28" s="62"/>
    </row>
    <row r="29" spans="5:5" ht="15.75" customHeight="1">
      <c r="E29" s="62"/>
    </row>
    <row r="30" spans="5:5" ht="15.75" customHeight="1">
      <c r="E30" s="62"/>
    </row>
    <row r="31" spans="5:5" ht="15.75" customHeight="1">
      <c r="E31" s="62"/>
    </row>
    <row r="32" spans="5: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defaultColWidth="14.42578125" defaultRowHeight="15" customHeight="1"/>
  <cols>
    <col min="1" max="2" width="8.7109375" customWidth="1"/>
    <col min="3" max="3" width="77.7109375" customWidth="1"/>
    <col min="4" max="4" width="127.42578125" customWidth="1"/>
    <col min="5" max="26" width="8.7109375" customWidth="1"/>
  </cols>
  <sheetData>
    <row r="1" spans="1:5">
      <c r="A1" s="57" t="s">
        <v>56</v>
      </c>
      <c r="B1" s="57" t="s">
        <v>57</v>
      </c>
      <c r="C1" s="57" t="s">
        <v>58</v>
      </c>
      <c r="D1" s="57" t="s">
        <v>59</v>
      </c>
      <c r="E1" s="66" t="s">
        <v>60</v>
      </c>
    </row>
    <row r="2" spans="1:5">
      <c r="A2" s="59" t="s">
        <v>363</v>
      </c>
      <c r="B2" s="59" t="s">
        <v>364</v>
      </c>
      <c r="C2" s="59" t="s">
        <v>365</v>
      </c>
      <c r="D2" s="59" t="s">
        <v>366</v>
      </c>
      <c r="E2" s="60">
        <v>0</v>
      </c>
    </row>
    <row r="3" spans="1:5">
      <c r="A3" s="59" t="s">
        <v>363</v>
      </c>
      <c r="B3" s="59" t="s">
        <v>367</v>
      </c>
      <c r="C3" s="59" t="s">
        <v>368</v>
      </c>
      <c r="D3" s="59" t="s">
        <v>369</v>
      </c>
      <c r="E3" s="60">
        <v>0</v>
      </c>
    </row>
    <row r="4" spans="1:5">
      <c r="A4" s="59" t="s">
        <v>363</v>
      </c>
      <c r="B4" s="59" t="s">
        <v>370</v>
      </c>
      <c r="C4" s="59" t="s">
        <v>371</v>
      </c>
      <c r="D4" s="59" t="s">
        <v>372</v>
      </c>
      <c r="E4" s="60">
        <v>0</v>
      </c>
    </row>
    <row r="5" spans="1:5">
      <c r="A5" s="59" t="s">
        <v>363</v>
      </c>
      <c r="B5" s="59" t="s">
        <v>373</v>
      </c>
      <c r="C5" s="59" t="s">
        <v>374</v>
      </c>
      <c r="D5" s="59" t="s">
        <v>375</v>
      </c>
      <c r="E5" s="60">
        <v>1</v>
      </c>
    </row>
    <row r="6" spans="1:5">
      <c r="A6" s="59" t="s">
        <v>363</v>
      </c>
      <c r="B6" s="59" t="s">
        <v>376</v>
      </c>
      <c r="C6" s="59" t="s">
        <v>377</v>
      </c>
      <c r="D6" s="59" t="s">
        <v>378</v>
      </c>
      <c r="E6" s="60">
        <v>1</v>
      </c>
    </row>
    <row r="7" spans="1:5">
      <c r="A7" s="59" t="s">
        <v>363</v>
      </c>
      <c r="B7" s="59" t="s">
        <v>379</v>
      </c>
      <c r="C7" s="59" t="s">
        <v>380</v>
      </c>
      <c r="D7" s="59" t="s">
        <v>381</v>
      </c>
      <c r="E7" s="60">
        <v>1</v>
      </c>
    </row>
    <row r="8" spans="1:5">
      <c r="A8" s="59" t="s">
        <v>363</v>
      </c>
      <c r="B8" s="59" t="s">
        <v>382</v>
      </c>
      <c r="C8" s="59" t="s">
        <v>383</v>
      </c>
      <c r="D8" s="59" t="s">
        <v>384</v>
      </c>
      <c r="E8" s="60">
        <v>0</v>
      </c>
    </row>
    <row r="9" spans="1:5">
      <c r="A9" s="59" t="s">
        <v>363</v>
      </c>
      <c r="B9" s="59" t="s">
        <v>385</v>
      </c>
      <c r="C9" s="59" t="s">
        <v>386</v>
      </c>
      <c r="D9" s="59" t="s">
        <v>387</v>
      </c>
      <c r="E9" s="60">
        <v>0</v>
      </c>
    </row>
    <row r="10" spans="1:5">
      <c r="A10" s="59" t="s">
        <v>363</v>
      </c>
      <c r="B10" s="59" t="s">
        <v>388</v>
      </c>
      <c r="C10" s="59" t="s">
        <v>389</v>
      </c>
      <c r="D10" s="59" t="s">
        <v>390</v>
      </c>
      <c r="E10" s="60">
        <v>1</v>
      </c>
    </row>
    <row r="11" spans="1:5">
      <c r="A11" s="59" t="s">
        <v>363</v>
      </c>
      <c r="B11" s="59" t="s">
        <v>391</v>
      </c>
      <c r="C11" s="59" t="s">
        <v>392</v>
      </c>
      <c r="D11" s="59" t="s">
        <v>393</v>
      </c>
      <c r="E11" s="60">
        <v>0</v>
      </c>
    </row>
    <row r="12" spans="1:5" ht="96.75" customHeight="1">
      <c r="A12" s="59" t="s">
        <v>363</v>
      </c>
      <c r="B12" s="59" t="s">
        <v>394</v>
      </c>
      <c r="C12" s="59" t="s">
        <v>395</v>
      </c>
      <c r="D12" s="59" t="s">
        <v>396</v>
      </c>
      <c r="E12" s="60">
        <v>1</v>
      </c>
    </row>
    <row r="13" spans="1:5">
      <c r="A13" s="59" t="s">
        <v>363</v>
      </c>
      <c r="B13" s="59" t="s">
        <v>397</v>
      </c>
      <c r="C13" s="59" t="s">
        <v>398</v>
      </c>
      <c r="D13" s="59" t="s">
        <v>399</v>
      </c>
      <c r="E13" s="60">
        <v>0</v>
      </c>
    </row>
    <row r="14" spans="1:5">
      <c r="A14" s="59" t="s">
        <v>363</v>
      </c>
      <c r="B14" s="59" t="s">
        <v>400</v>
      </c>
      <c r="C14" s="59" t="s">
        <v>401</v>
      </c>
      <c r="D14" s="59" t="s">
        <v>402</v>
      </c>
      <c r="E14" s="60">
        <v>0</v>
      </c>
    </row>
    <row r="15" spans="1:5">
      <c r="A15" s="59" t="s">
        <v>363</v>
      </c>
      <c r="B15" s="59" t="s">
        <v>403</v>
      </c>
      <c r="C15" s="59" t="s">
        <v>404</v>
      </c>
      <c r="D15" s="59" t="s">
        <v>405</v>
      </c>
      <c r="E15" s="60">
        <v>0</v>
      </c>
    </row>
    <row r="16" spans="1:5">
      <c r="A16" s="59" t="s">
        <v>363</v>
      </c>
      <c r="B16" s="59" t="s">
        <v>406</v>
      </c>
      <c r="C16" s="59" t="s">
        <v>407</v>
      </c>
      <c r="D16" s="59" t="s">
        <v>408</v>
      </c>
      <c r="E16" s="60">
        <v>1</v>
      </c>
    </row>
    <row r="17" spans="1:5">
      <c r="A17" s="59"/>
      <c r="B17" s="59"/>
      <c r="C17" s="59"/>
      <c r="D17" s="59"/>
      <c r="E17" s="60"/>
    </row>
    <row r="18" spans="1:5">
      <c r="A18" s="59"/>
      <c r="B18" s="59"/>
      <c r="C18" s="59"/>
      <c r="D18" s="59"/>
      <c r="E18" s="60"/>
    </row>
    <row r="19" spans="1:5">
      <c r="A19" s="59"/>
      <c r="B19" s="59"/>
      <c r="C19" s="59"/>
      <c r="D19" s="59"/>
      <c r="E19" s="60"/>
    </row>
    <row r="20" spans="1:5">
      <c r="A20" s="59"/>
      <c r="B20" s="59"/>
      <c r="C20" s="59"/>
      <c r="D20" s="59"/>
      <c r="E20" s="60"/>
    </row>
    <row r="21" spans="1:5" ht="15.75" customHeight="1">
      <c r="A21" s="59"/>
      <c r="B21" s="59"/>
      <c r="C21" s="59"/>
      <c r="D21" s="59"/>
      <c r="E21" s="60"/>
    </row>
    <row r="22" spans="1:5" ht="15.75" customHeight="1">
      <c r="A22" s="59"/>
      <c r="B22" s="59"/>
      <c r="C22" s="59"/>
      <c r="D22" s="59"/>
      <c r="E22" s="60"/>
    </row>
    <row r="23" spans="1:5" ht="15.75" customHeight="1">
      <c r="E23" s="62"/>
    </row>
    <row r="24" spans="1:5" ht="15.75" customHeight="1">
      <c r="E24" s="62"/>
    </row>
    <row r="25" spans="1:5" ht="15.75" customHeight="1">
      <c r="E25" s="62"/>
    </row>
    <row r="26" spans="1:5" ht="15.75" customHeight="1">
      <c r="E26" s="62"/>
    </row>
    <row r="27" spans="1:5" ht="15.75" customHeight="1">
      <c r="E27" s="62"/>
    </row>
    <row r="28" spans="1:5" ht="15.75" customHeight="1">
      <c r="E28" s="62"/>
    </row>
    <row r="29" spans="1:5" ht="15.75" customHeight="1">
      <c r="E29" s="62"/>
    </row>
    <row r="30" spans="1:5" ht="15.75" customHeight="1">
      <c r="E30" s="62"/>
    </row>
    <row r="31" spans="1:5" ht="15.75" customHeight="1">
      <c r="E31" s="62"/>
    </row>
    <row r="32" spans="1:5" ht="15.75" customHeight="1">
      <c r="E32" s="62"/>
    </row>
    <row r="33" spans="5:5" ht="15.75" customHeight="1">
      <c r="E33" s="62"/>
    </row>
    <row r="34" spans="5:5" ht="15.75" customHeight="1">
      <c r="E34" s="62"/>
    </row>
    <row r="35" spans="5:5" ht="15.75" customHeight="1">
      <c r="E35" s="62"/>
    </row>
    <row r="36" spans="5:5" ht="15.75" customHeight="1">
      <c r="E36" s="62"/>
    </row>
    <row r="37" spans="5:5" ht="15.75" customHeight="1">
      <c r="E37" s="62"/>
    </row>
    <row r="38" spans="5:5" ht="15.75" customHeight="1">
      <c r="E38" s="62"/>
    </row>
    <row r="39" spans="5:5" ht="15.75" customHeight="1">
      <c r="E39" s="62"/>
    </row>
    <row r="40" spans="5:5" ht="15.75" customHeight="1">
      <c r="E40" s="62"/>
    </row>
    <row r="41" spans="5:5" ht="15.75" customHeight="1">
      <c r="E41" s="62"/>
    </row>
    <row r="42" spans="5:5" ht="15.75" customHeight="1">
      <c r="E42" s="62"/>
    </row>
    <row r="43" spans="5:5" ht="15.75" customHeight="1">
      <c r="E43" s="62"/>
    </row>
    <row r="44" spans="5:5" ht="15.75" customHeight="1">
      <c r="E44" s="62"/>
    </row>
    <row r="45" spans="5:5" ht="15.75" customHeight="1">
      <c r="E45" s="62"/>
    </row>
    <row r="46" spans="5:5" ht="15.75" customHeight="1">
      <c r="E46" s="62"/>
    </row>
    <row r="47" spans="5:5" ht="15.75" customHeight="1">
      <c r="E47" s="62"/>
    </row>
    <row r="48" spans="5:5" ht="15.75" customHeight="1">
      <c r="E48" s="62"/>
    </row>
    <row r="49" spans="5:5" ht="15.75" customHeight="1">
      <c r="E49" s="62"/>
    </row>
    <row r="50" spans="5:5" ht="15.75" customHeight="1">
      <c r="E50" s="62"/>
    </row>
    <row r="51" spans="5:5" ht="15.75" customHeight="1">
      <c r="E51" s="62"/>
    </row>
    <row r="52" spans="5:5" ht="15.75" customHeight="1">
      <c r="E52" s="62"/>
    </row>
    <row r="53" spans="5:5" ht="15.75" customHeight="1">
      <c r="E53" s="62"/>
    </row>
    <row r="54" spans="5:5" ht="15.75" customHeight="1">
      <c r="E54" s="62"/>
    </row>
    <row r="55" spans="5:5" ht="15.75" customHeight="1">
      <c r="E55" s="62"/>
    </row>
    <row r="56" spans="5:5" ht="15.75" customHeight="1">
      <c r="E56" s="62"/>
    </row>
    <row r="57" spans="5:5" ht="15.75" customHeight="1">
      <c r="E57" s="62"/>
    </row>
    <row r="58" spans="5:5" ht="15.75" customHeight="1">
      <c r="E58" s="62"/>
    </row>
    <row r="59" spans="5:5" ht="15.75" customHeight="1">
      <c r="E59" s="62"/>
    </row>
    <row r="60" spans="5:5" ht="15.75" customHeight="1">
      <c r="E60" s="62"/>
    </row>
    <row r="61" spans="5:5" ht="15.75" customHeight="1">
      <c r="E61" s="62"/>
    </row>
    <row r="62" spans="5:5" ht="15.75" customHeight="1">
      <c r="E62" s="62"/>
    </row>
    <row r="63" spans="5:5" ht="15.75" customHeight="1">
      <c r="E63" s="62"/>
    </row>
    <row r="64" spans="5:5" ht="15.75" customHeight="1">
      <c r="E64" s="62"/>
    </row>
    <row r="65" spans="5:5" ht="15.75" customHeight="1">
      <c r="E65" s="62"/>
    </row>
    <row r="66" spans="5:5" ht="15.75" customHeight="1">
      <c r="E66" s="62"/>
    </row>
    <row r="67" spans="5:5" ht="15.75" customHeight="1">
      <c r="E67" s="62"/>
    </row>
    <row r="68" spans="5:5" ht="15.75" customHeight="1">
      <c r="E68" s="62"/>
    </row>
    <row r="69" spans="5:5" ht="15.75" customHeight="1">
      <c r="E69" s="62"/>
    </row>
    <row r="70" spans="5:5" ht="15.75" customHeight="1">
      <c r="E70" s="62"/>
    </row>
    <row r="71" spans="5:5" ht="15.75" customHeight="1">
      <c r="E71" s="62"/>
    </row>
    <row r="72" spans="5:5" ht="15.75" customHeight="1">
      <c r="E72" s="62"/>
    </row>
    <row r="73" spans="5:5" ht="15.75" customHeight="1">
      <c r="E73" s="62"/>
    </row>
    <row r="74" spans="5:5" ht="15.75" customHeight="1">
      <c r="E74" s="62"/>
    </row>
    <row r="75" spans="5:5" ht="15.75" customHeight="1">
      <c r="E75" s="62"/>
    </row>
    <row r="76" spans="5:5" ht="15.75" customHeight="1">
      <c r="E76" s="62"/>
    </row>
    <row r="77" spans="5:5" ht="15.75" customHeight="1">
      <c r="E77" s="62"/>
    </row>
    <row r="78" spans="5:5" ht="15.75" customHeight="1">
      <c r="E78" s="62"/>
    </row>
    <row r="79" spans="5:5" ht="15.75" customHeight="1">
      <c r="E79" s="62"/>
    </row>
    <row r="80" spans="5:5" ht="15.75" customHeight="1">
      <c r="E80" s="62"/>
    </row>
    <row r="81" spans="5:5" ht="15.75" customHeight="1">
      <c r="E81" s="62"/>
    </row>
    <row r="82" spans="5:5" ht="15.75" customHeight="1">
      <c r="E82" s="62"/>
    </row>
    <row r="83" spans="5:5" ht="15.75" customHeight="1">
      <c r="E83" s="62"/>
    </row>
    <row r="84" spans="5:5" ht="15.75" customHeight="1">
      <c r="E84" s="62"/>
    </row>
    <row r="85" spans="5:5" ht="15.75" customHeight="1">
      <c r="E85" s="62"/>
    </row>
    <row r="86" spans="5:5" ht="15.75" customHeight="1">
      <c r="E86" s="62"/>
    </row>
    <row r="87" spans="5:5" ht="15.75" customHeight="1">
      <c r="E87" s="62"/>
    </row>
    <row r="88" spans="5:5" ht="15.75" customHeight="1">
      <c r="E88" s="62"/>
    </row>
    <row r="89" spans="5:5" ht="15.75" customHeight="1">
      <c r="E89" s="62"/>
    </row>
    <row r="90" spans="5:5" ht="15.75" customHeight="1">
      <c r="E90" s="62"/>
    </row>
    <row r="91" spans="5:5" ht="15.75" customHeight="1">
      <c r="E91" s="62"/>
    </row>
    <row r="92" spans="5:5" ht="15.75" customHeight="1">
      <c r="E92" s="62"/>
    </row>
    <row r="93" spans="5:5" ht="15.75" customHeight="1">
      <c r="E93" s="62"/>
    </row>
    <row r="94" spans="5:5" ht="15.75" customHeight="1">
      <c r="E94" s="62"/>
    </row>
    <row r="95" spans="5:5" ht="15.75" customHeight="1">
      <c r="E95" s="62"/>
    </row>
    <row r="96" spans="5:5" ht="15.75" customHeight="1">
      <c r="E96" s="62"/>
    </row>
    <row r="97" spans="5:5" ht="15.75" customHeight="1">
      <c r="E97" s="62"/>
    </row>
    <row r="98" spans="5:5" ht="15.75" customHeight="1">
      <c r="E98" s="62"/>
    </row>
    <row r="99" spans="5:5" ht="15.75" customHeight="1">
      <c r="E99" s="62"/>
    </row>
    <row r="100" spans="5:5" ht="15.75" customHeight="1">
      <c r="E100" s="62"/>
    </row>
    <row r="101" spans="5:5" ht="15.75" customHeight="1">
      <c r="E101" s="62"/>
    </row>
    <row r="102" spans="5:5" ht="15.75" customHeight="1">
      <c r="E102" s="62"/>
    </row>
    <row r="103" spans="5:5" ht="15.75" customHeight="1">
      <c r="E103" s="62"/>
    </row>
    <row r="104" spans="5:5" ht="15.75" customHeight="1">
      <c r="E104" s="62"/>
    </row>
    <row r="105" spans="5:5" ht="15.75" customHeight="1">
      <c r="E105" s="62"/>
    </row>
    <row r="106" spans="5:5" ht="15.75" customHeight="1">
      <c r="E106" s="62"/>
    </row>
    <row r="107" spans="5:5" ht="15.75" customHeight="1">
      <c r="E107" s="62"/>
    </row>
    <row r="108" spans="5:5" ht="15.75" customHeight="1">
      <c r="E108" s="62"/>
    </row>
    <row r="109" spans="5:5" ht="15.75" customHeight="1">
      <c r="E109" s="62"/>
    </row>
    <row r="110" spans="5:5" ht="15.75" customHeight="1">
      <c r="E110" s="62"/>
    </row>
    <row r="111" spans="5:5" ht="15.75" customHeight="1">
      <c r="E111" s="62"/>
    </row>
    <row r="112" spans="5:5" ht="15.75" customHeight="1">
      <c r="E112" s="62"/>
    </row>
    <row r="113" spans="5:5" ht="15.75" customHeight="1">
      <c r="E113" s="62"/>
    </row>
    <row r="114" spans="5:5" ht="15.75" customHeight="1">
      <c r="E114" s="62"/>
    </row>
    <row r="115" spans="5:5" ht="15.75" customHeight="1">
      <c r="E115" s="62"/>
    </row>
    <row r="116" spans="5:5" ht="15.75" customHeight="1">
      <c r="E116" s="62"/>
    </row>
    <row r="117" spans="5:5" ht="15.75" customHeight="1">
      <c r="E117" s="62"/>
    </row>
    <row r="118" spans="5:5" ht="15.75" customHeight="1">
      <c r="E118" s="62"/>
    </row>
    <row r="119" spans="5:5" ht="15.75" customHeight="1">
      <c r="E119" s="62"/>
    </row>
    <row r="120" spans="5:5" ht="15.75" customHeight="1">
      <c r="E120" s="62"/>
    </row>
    <row r="121" spans="5:5" ht="15.75" customHeight="1">
      <c r="E121" s="62"/>
    </row>
    <row r="122" spans="5:5" ht="15.75" customHeight="1">
      <c r="E122" s="62"/>
    </row>
    <row r="123" spans="5:5" ht="15.75" customHeight="1">
      <c r="E123" s="62"/>
    </row>
    <row r="124" spans="5:5" ht="15.75" customHeight="1">
      <c r="E124" s="62"/>
    </row>
    <row r="125" spans="5:5" ht="15.75" customHeight="1">
      <c r="E125" s="62"/>
    </row>
    <row r="126" spans="5:5" ht="15.75" customHeight="1">
      <c r="E126" s="62"/>
    </row>
    <row r="127" spans="5:5" ht="15.75" customHeight="1">
      <c r="E127" s="62"/>
    </row>
    <row r="128" spans="5:5" ht="15.75" customHeight="1">
      <c r="E128" s="62"/>
    </row>
    <row r="129" spans="5:5" ht="15.75" customHeight="1">
      <c r="E129" s="62"/>
    </row>
    <row r="130" spans="5:5" ht="15.75" customHeight="1">
      <c r="E130" s="62"/>
    </row>
    <row r="131" spans="5:5" ht="15.75" customHeight="1">
      <c r="E131" s="62"/>
    </row>
    <row r="132" spans="5:5" ht="15.75" customHeight="1">
      <c r="E132" s="62"/>
    </row>
    <row r="133" spans="5:5" ht="15.75" customHeight="1">
      <c r="E133" s="62"/>
    </row>
    <row r="134" spans="5:5" ht="15.75" customHeight="1">
      <c r="E134" s="62"/>
    </row>
    <row r="135" spans="5:5" ht="15.75" customHeight="1">
      <c r="E135" s="62"/>
    </row>
    <row r="136" spans="5:5" ht="15.75" customHeight="1">
      <c r="E136" s="62"/>
    </row>
    <row r="137" spans="5:5" ht="15.75" customHeight="1">
      <c r="E137" s="62"/>
    </row>
    <row r="138" spans="5:5" ht="15.75" customHeight="1">
      <c r="E138" s="62"/>
    </row>
    <row r="139" spans="5:5" ht="15.75" customHeight="1">
      <c r="E139" s="62"/>
    </row>
    <row r="140" spans="5:5" ht="15.75" customHeight="1">
      <c r="E140" s="62"/>
    </row>
    <row r="141" spans="5:5" ht="15.75" customHeight="1">
      <c r="E141" s="62"/>
    </row>
    <row r="142" spans="5:5" ht="15.75" customHeight="1">
      <c r="E142" s="62"/>
    </row>
    <row r="143" spans="5:5" ht="15.75" customHeight="1">
      <c r="E143" s="62"/>
    </row>
    <row r="144" spans="5:5" ht="15.75" customHeight="1">
      <c r="E144" s="62"/>
    </row>
    <row r="145" spans="5:5" ht="15.75" customHeight="1">
      <c r="E145" s="62"/>
    </row>
    <row r="146" spans="5:5" ht="15.75" customHeight="1">
      <c r="E146" s="62"/>
    </row>
    <row r="147" spans="5:5" ht="15.75" customHeight="1">
      <c r="E147" s="62"/>
    </row>
    <row r="148" spans="5:5" ht="15.75" customHeight="1">
      <c r="E148" s="62"/>
    </row>
    <row r="149" spans="5:5" ht="15.75" customHeight="1">
      <c r="E149" s="62"/>
    </row>
    <row r="150" spans="5:5" ht="15.75" customHeight="1">
      <c r="E150" s="62"/>
    </row>
    <row r="151" spans="5:5" ht="15.75" customHeight="1">
      <c r="E151" s="62"/>
    </row>
    <row r="152" spans="5:5" ht="15.75" customHeight="1">
      <c r="E152" s="62"/>
    </row>
    <row r="153" spans="5:5" ht="15.75" customHeight="1">
      <c r="E153" s="62"/>
    </row>
    <row r="154" spans="5:5" ht="15.75" customHeight="1">
      <c r="E154" s="62"/>
    </row>
    <row r="155" spans="5:5" ht="15.75" customHeight="1">
      <c r="E155" s="62"/>
    </row>
    <row r="156" spans="5:5" ht="15.75" customHeight="1">
      <c r="E156" s="62"/>
    </row>
    <row r="157" spans="5:5" ht="15.75" customHeight="1">
      <c r="E157" s="62"/>
    </row>
    <row r="158" spans="5:5" ht="15.75" customHeight="1">
      <c r="E158" s="62"/>
    </row>
    <row r="159" spans="5:5" ht="15.75" customHeight="1">
      <c r="E159" s="62"/>
    </row>
    <row r="160" spans="5:5" ht="15.75" customHeight="1">
      <c r="E160" s="62"/>
    </row>
    <row r="161" spans="5:5" ht="15.75" customHeight="1">
      <c r="E161" s="62"/>
    </row>
    <row r="162" spans="5:5" ht="15.75" customHeight="1">
      <c r="E162" s="62"/>
    </row>
    <row r="163" spans="5:5" ht="15.75" customHeight="1">
      <c r="E163" s="62"/>
    </row>
    <row r="164" spans="5:5" ht="15.75" customHeight="1">
      <c r="E164" s="62"/>
    </row>
    <row r="165" spans="5:5" ht="15.75" customHeight="1">
      <c r="E165" s="62"/>
    </row>
    <row r="166" spans="5:5" ht="15.75" customHeight="1">
      <c r="E166" s="62"/>
    </row>
    <row r="167" spans="5:5" ht="15.75" customHeight="1">
      <c r="E167" s="62"/>
    </row>
    <row r="168" spans="5:5" ht="15.75" customHeight="1">
      <c r="E168" s="62"/>
    </row>
    <row r="169" spans="5:5" ht="15.75" customHeight="1">
      <c r="E169" s="62"/>
    </row>
    <row r="170" spans="5:5" ht="15.75" customHeight="1">
      <c r="E170" s="62"/>
    </row>
    <row r="171" spans="5:5" ht="15.75" customHeight="1">
      <c r="E171" s="62"/>
    </row>
    <row r="172" spans="5:5" ht="15.75" customHeight="1">
      <c r="E172" s="62"/>
    </row>
    <row r="173" spans="5:5" ht="15.75" customHeight="1">
      <c r="E173" s="62"/>
    </row>
    <row r="174" spans="5:5" ht="15.75" customHeight="1">
      <c r="E174" s="62"/>
    </row>
    <row r="175" spans="5:5" ht="15.75" customHeight="1">
      <c r="E175" s="62"/>
    </row>
    <row r="176" spans="5:5" ht="15.75" customHeight="1">
      <c r="E176" s="62"/>
    </row>
    <row r="177" spans="5:5" ht="15.75" customHeight="1">
      <c r="E177" s="62"/>
    </row>
    <row r="178" spans="5:5" ht="15.75" customHeight="1">
      <c r="E178" s="62"/>
    </row>
    <row r="179" spans="5:5" ht="15.75" customHeight="1">
      <c r="E179" s="62"/>
    </row>
    <row r="180" spans="5:5" ht="15.75" customHeight="1">
      <c r="E180" s="62"/>
    </row>
    <row r="181" spans="5:5" ht="15.75" customHeight="1">
      <c r="E181" s="62"/>
    </row>
    <row r="182" spans="5:5" ht="15.75" customHeight="1">
      <c r="E182" s="62"/>
    </row>
    <row r="183" spans="5:5" ht="15.75" customHeight="1">
      <c r="E183" s="62"/>
    </row>
    <row r="184" spans="5:5" ht="15.75" customHeight="1">
      <c r="E184" s="62"/>
    </row>
    <row r="185" spans="5:5" ht="15.75" customHeight="1">
      <c r="E185" s="62"/>
    </row>
    <row r="186" spans="5:5" ht="15.75" customHeight="1">
      <c r="E186" s="62"/>
    </row>
    <row r="187" spans="5:5" ht="15.75" customHeight="1">
      <c r="E187" s="62"/>
    </row>
    <row r="188" spans="5:5" ht="15.75" customHeight="1">
      <c r="E188" s="62"/>
    </row>
    <row r="189" spans="5:5" ht="15.75" customHeight="1">
      <c r="E189" s="62"/>
    </row>
    <row r="190" spans="5:5" ht="15.75" customHeight="1">
      <c r="E190" s="62"/>
    </row>
    <row r="191" spans="5:5" ht="15.75" customHeight="1">
      <c r="E191" s="62"/>
    </row>
    <row r="192" spans="5:5" ht="15.75" customHeight="1">
      <c r="E192" s="62"/>
    </row>
    <row r="193" spans="5:5" ht="15.75" customHeight="1">
      <c r="E193" s="62"/>
    </row>
    <row r="194" spans="5:5" ht="15.75" customHeight="1">
      <c r="E194" s="62"/>
    </row>
    <row r="195" spans="5:5" ht="15.75" customHeight="1">
      <c r="E195" s="62"/>
    </row>
    <row r="196" spans="5:5" ht="15.75" customHeight="1">
      <c r="E196" s="62"/>
    </row>
    <row r="197" spans="5:5" ht="15.75" customHeight="1">
      <c r="E197" s="62"/>
    </row>
    <row r="198" spans="5:5" ht="15.75" customHeight="1">
      <c r="E198" s="62"/>
    </row>
    <row r="199" spans="5:5" ht="15.75" customHeight="1">
      <c r="E199" s="62"/>
    </row>
    <row r="200" spans="5:5" ht="15.75" customHeight="1">
      <c r="E200" s="62"/>
    </row>
    <row r="201" spans="5:5" ht="15.75" customHeight="1">
      <c r="E201" s="62"/>
    </row>
    <row r="202" spans="5:5" ht="15.75" customHeight="1">
      <c r="E202" s="62"/>
    </row>
    <row r="203" spans="5:5" ht="15.75" customHeight="1">
      <c r="E203" s="62"/>
    </row>
    <row r="204" spans="5:5" ht="15.75" customHeight="1">
      <c r="E204" s="62"/>
    </row>
    <row r="205" spans="5:5" ht="15.75" customHeight="1">
      <c r="E205" s="62"/>
    </row>
    <row r="206" spans="5:5" ht="15.75" customHeight="1">
      <c r="E206" s="62"/>
    </row>
    <row r="207" spans="5:5" ht="15.75" customHeight="1">
      <c r="E207" s="62"/>
    </row>
    <row r="208" spans="5:5" ht="15.75" customHeight="1">
      <c r="E208" s="62"/>
    </row>
    <row r="209" spans="5:5" ht="15.75" customHeight="1">
      <c r="E209" s="62"/>
    </row>
    <row r="210" spans="5:5" ht="15.75" customHeight="1">
      <c r="E210" s="62"/>
    </row>
    <row r="211" spans="5:5" ht="15.75" customHeight="1">
      <c r="E211" s="62"/>
    </row>
    <row r="212" spans="5:5" ht="15.75" customHeight="1">
      <c r="E212" s="62"/>
    </row>
    <row r="213" spans="5:5" ht="15.75" customHeight="1">
      <c r="E213" s="62"/>
    </row>
    <row r="214" spans="5:5" ht="15.75" customHeight="1">
      <c r="E214" s="62"/>
    </row>
    <row r="215" spans="5:5" ht="15.75" customHeight="1">
      <c r="E215" s="62"/>
    </row>
    <row r="216" spans="5:5" ht="15.75" customHeight="1">
      <c r="E216" s="62"/>
    </row>
    <row r="217" spans="5:5" ht="15.75" customHeight="1">
      <c r="E217" s="62"/>
    </row>
    <row r="218" spans="5:5" ht="15.75" customHeight="1">
      <c r="E218" s="62"/>
    </row>
    <row r="219" spans="5:5" ht="15.75" customHeight="1">
      <c r="E219" s="62"/>
    </row>
    <row r="220" spans="5:5" ht="15.75" customHeight="1">
      <c r="E220" s="62"/>
    </row>
    <row r="221" spans="5:5" ht="15.75" customHeight="1">
      <c r="E221" s="62"/>
    </row>
    <row r="222" spans="5:5" ht="15.75" customHeight="1">
      <c r="E222" s="62"/>
    </row>
    <row r="223" spans="5:5" ht="15.75" customHeight="1">
      <c r="E223" s="62"/>
    </row>
    <row r="224" spans="5:5" ht="15.75" customHeight="1">
      <c r="E224" s="62"/>
    </row>
    <row r="225" spans="5:5" ht="15.75" customHeight="1">
      <c r="E225" s="62"/>
    </row>
    <row r="226" spans="5:5" ht="15.75" customHeight="1">
      <c r="E226" s="62"/>
    </row>
    <row r="227" spans="5:5" ht="15.75" customHeight="1">
      <c r="E227" s="62"/>
    </row>
    <row r="228" spans="5:5" ht="15.75" customHeight="1">
      <c r="E228" s="62"/>
    </row>
    <row r="229" spans="5:5" ht="15.75" customHeight="1">
      <c r="E229" s="62"/>
    </row>
    <row r="230" spans="5:5" ht="15.75" customHeight="1">
      <c r="E230" s="62"/>
    </row>
    <row r="231" spans="5:5" ht="15.75" customHeight="1">
      <c r="E231" s="62"/>
    </row>
    <row r="232" spans="5:5" ht="15.75" customHeight="1">
      <c r="E232" s="62"/>
    </row>
    <row r="233" spans="5:5" ht="15.75" customHeight="1">
      <c r="E233" s="62"/>
    </row>
    <row r="234" spans="5:5" ht="15.75" customHeight="1">
      <c r="E234" s="62"/>
    </row>
    <row r="235" spans="5:5" ht="15.75" customHeight="1">
      <c r="E235" s="62"/>
    </row>
    <row r="236" spans="5:5" ht="15.75" customHeight="1">
      <c r="E236" s="62"/>
    </row>
    <row r="237" spans="5:5" ht="15.75" customHeight="1">
      <c r="E237" s="62"/>
    </row>
    <row r="238" spans="5:5" ht="15.75" customHeight="1">
      <c r="E238" s="62"/>
    </row>
    <row r="239" spans="5:5" ht="15.75" customHeight="1">
      <c r="E239" s="62"/>
    </row>
    <row r="240" spans="5:5" ht="15.75" customHeight="1">
      <c r="E240" s="62"/>
    </row>
    <row r="241" spans="5:5" ht="15.75" customHeight="1">
      <c r="E241" s="62"/>
    </row>
    <row r="242" spans="5:5" ht="15.75" customHeight="1">
      <c r="E242" s="62"/>
    </row>
    <row r="243" spans="5:5" ht="15.75" customHeight="1">
      <c r="E243" s="62"/>
    </row>
    <row r="244" spans="5:5" ht="15.75" customHeight="1">
      <c r="E244" s="62"/>
    </row>
    <row r="245" spans="5:5" ht="15.75" customHeight="1">
      <c r="E245" s="62"/>
    </row>
    <row r="246" spans="5:5" ht="15.75" customHeight="1">
      <c r="E246" s="62"/>
    </row>
    <row r="247" spans="5:5" ht="15.75" customHeight="1">
      <c r="E247" s="62"/>
    </row>
    <row r="248" spans="5:5" ht="15.75" customHeight="1">
      <c r="E248" s="62"/>
    </row>
    <row r="249" spans="5:5" ht="15.75" customHeight="1">
      <c r="E249" s="62"/>
    </row>
    <row r="250" spans="5:5" ht="15.75" customHeight="1">
      <c r="E250" s="62"/>
    </row>
    <row r="251" spans="5:5" ht="15.75" customHeight="1">
      <c r="E251" s="62"/>
    </row>
    <row r="252" spans="5:5" ht="15.75" customHeight="1">
      <c r="E252" s="62"/>
    </row>
    <row r="253" spans="5:5" ht="15.75" customHeight="1">
      <c r="E253" s="62"/>
    </row>
    <row r="254" spans="5:5" ht="15.75" customHeight="1">
      <c r="E254" s="62"/>
    </row>
    <row r="255" spans="5:5" ht="15.75" customHeight="1">
      <c r="E255" s="62"/>
    </row>
    <row r="256" spans="5:5" ht="15.75" customHeight="1">
      <c r="E256" s="62"/>
    </row>
    <row r="257" spans="5:5" ht="15.75" customHeight="1">
      <c r="E257" s="62"/>
    </row>
    <row r="258" spans="5:5" ht="15.75" customHeight="1">
      <c r="E258" s="62"/>
    </row>
    <row r="259" spans="5:5" ht="15.75" customHeight="1">
      <c r="E259" s="62"/>
    </row>
    <row r="260" spans="5:5" ht="15.75" customHeight="1">
      <c r="E260" s="62"/>
    </row>
    <row r="261" spans="5:5" ht="15.75" customHeight="1">
      <c r="E261" s="62"/>
    </row>
    <row r="262" spans="5:5" ht="15.75" customHeight="1">
      <c r="E262" s="62"/>
    </row>
    <row r="263" spans="5:5" ht="15.75" customHeight="1">
      <c r="E263" s="62"/>
    </row>
    <row r="264" spans="5:5" ht="15.75" customHeight="1">
      <c r="E264" s="62"/>
    </row>
    <row r="265" spans="5:5" ht="15.75" customHeight="1">
      <c r="E265" s="62"/>
    </row>
    <row r="266" spans="5:5" ht="15.75" customHeight="1">
      <c r="E266" s="62"/>
    </row>
    <row r="267" spans="5:5" ht="15.75" customHeight="1">
      <c r="E267" s="62"/>
    </row>
    <row r="268" spans="5:5" ht="15.75" customHeight="1">
      <c r="E268" s="62"/>
    </row>
    <row r="269" spans="5:5" ht="15.75" customHeight="1">
      <c r="E269" s="62"/>
    </row>
    <row r="270" spans="5:5" ht="15.75" customHeight="1">
      <c r="E270" s="62"/>
    </row>
    <row r="271" spans="5:5" ht="15.75" customHeight="1">
      <c r="E271" s="62"/>
    </row>
    <row r="272" spans="5:5" ht="15.75" customHeight="1">
      <c r="E272" s="62"/>
    </row>
    <row r="273" spans="5:5" ht="15.75" customHeight="1">
      <c r="E273" s="62"/>
    </row>
    <row r="274" spans="5:5" ht="15.75" customHeight="1">
      <c r="E274" s="62"/>
    </row>
    <row r="275" spans="5:5" ht="15.75" customHeight="1">
      <c r="E275" s="62"/>
    </row>
    <row r="276" spans="5:5" ht="15.75" customHeight="1">
      <c r="E276" s="62"/>
    </row>
    <row r="277" spans="5:5" ht="15.75" customHeight="1">
      <c r="E277" s="62"/>
    </row>
    <row r="278" spans="5:5" ht="15.75" customHeight="1">
      <c r="E278" s="62"/>
    </row>
    <row r="279" spans="5:5" ht="15.75" customHeight="1">
      <c r="E279" s="62"/>
    </row>
    <row r="280" spans="5:5" ht="15.75" customHeight="1">
      <c r="E280" s="62"/>
    </row>
    <row r="281" spans="5:5" ht="15.75" customHeight="1">
      <c r="E281" s="62"/>
    </row>
    <row r="282" spans="5:5" ht="15.75" customHeight="1">
      <c r="E282" s="62"/>
    </row>
    <row r="283" spans="5:5" ht="15.75" customHeight="1">
      <c r="E283" s="62"/>
    </row>
    <row r="284" spans="5:5" ht="15.75" customHeight="1">
      <c r="E284" s="62"/>
    </row>
    <row r="285" spans="5:5" ht="15.75" customHeight="1">
      <c r="E285" s="62"/>
    </row>
    <row r="286" spans="5:5" ht="15.75" customHeight="1">
      <c r="E286" s="62"/>
    </row>
    <row r="287" spans="5:5" ht="15.75" customHeight="1">
      <c r="E287" s="62"/>
    </row>
    <row r="288" spans="5:5" ht="15.75" customHeight="1">
      <c r="E288" s="62"/>
    </row>
    <row r="289" spans="5:5" ht="15.75" customHeight="1">
      <c r="E289" s="62"/>
    </row>
    <row r="290" spans="5:5" ht="15.75" customHeight="1">
      <c r="E290" s="62"/>
    </row>
    <row r="291" spans="5:5" ht="15.75" customHeight="1">
      <c r="E291" s="62"/>
    </row>
    <row r="292" spans="5:5" ht="15.75" customHeight="1">
      <c r="E292" s="62"/>
    </row>
    <row r="293" spans="5:5" ht="15.75" customHeight="1">
      <c r="E293" s="62"/>
    </row>
    <row r="294" spans="5:5" ht="15.75" customHeight="1">
      <c r="E294" s="62"/>
    </row>
    <row r="295" spans="5:5" ht="15.75" customHeight="1">
      <c r="E295" s="62"/>
    </row>
    <row r="296" spans="5:5" ht="15.75" customHeight="1">
      <c r="E296" s="62"/>
    </row>
    <row r="297" spans="5:5" ht="15.75" customHeight="1">
      <c r="E297" s="62"/>
    </row>
    <row r="298" spans="5:5" ht="15.75" customHeight="1">
      <c r="E298" s="62"/>
    </row>
    <row r="299" spans="5:5" ht="15.75" customHeight="1">
      <c r="E299" s="62"/>
    </row>
    <row r="300" spans="5:5" ht="15.75" customHeight="1">
      <c r="E300" s="62"/>
    </row>
    <row r="301" spans="5:5" ht="15.75" customHeight="1">
      <c r="E301" s="62"/>
    </row>
    <row r="302" spans="5:5" ht="15.75" customHeight="1">
      <c r="E302" s="62"/>
    </row>
    <row r="303" spans="5:5" ht="15.75" customHeight="1">
      <c r="E303" s="62"/>
    </row>
    <row r="304" spans="5:5" ht="15.75" customHeight="1">
      <c r="E304" s="62"/>
    </row>
    <row r="305" spans="5:5" ht="15.75" customHeight="1">
      <c r="E305" s="62"/>
    </row>
    <row r="306" spans="5:5" ht="15.75" customHeight="1">
      <c r="E306" s="62"/>
    </row>
    <row r="307" spans="5:5" ht="15.75" customHeight="1">
      <c r="E307" s="62"/>
    </row>
    <row r="308" spans="5:5" ht="15.75" customHeight="1">
      <c r="E308" s="62"/>
    </row>
    <row r="309" spans="5:5" ht="15.75" customHeight="1">
      <c r="E309" s="62"/>
    </row>
    <row r="310" spans="5:5" ht="15.75" customHeight="1">
      <c r="E310" s="62"/>
    </row>
    <row r="311" spans="5:5" ht="15.75" customHeight="1">
      <c r="E311" s="62"/>
    </row>
    <row r="312" spans="5:5" ht="15.75" customHeight="1">
      <c r="E312" s="62"/>
    </row>
    <row r="313" spans="5:5" ht="15.75" customHeight="1">
      <c r="E313" s="62"/>
    </row>
    <row r="314" spans="5:5" ht="15.75" customHeight="1">
      <c r="E314" s="62"/>
    </row>
    <row r="315" spans="5:5" ht="15.75" customHeight="1">
      <c r="E315" s="62"/>
    </row>
    <row r="316" spans="5:5" ht="15.75" customHeight="1">
      <c r="E316" s="62"/>
    </row>
    <row r="317" spans="5:5" ht="15.75" customHeight="1">
      <c r="E317" s="62"/>
    </row>
    <row r="318" spans="5:5" ht="15.75" customHeight="1">
      <c r="E318" s="62"/>
    </row>
    <row r="319" spans="5:5" ht="15.75" customHeight="1">
      <c r="E319" s="62"/>
    </row>
    <row r="320" spans="5:5" ht="15.75" customHeight="1">
      <c r="E320" s="62"/>
    </row>
    <row r="321" spans="5:5" ht="15.75" customHeight="1">
      <c r="E321" s="62"/>
    </row>
    <row r="322" spans="5:5" ht="15.75" customHeight="1">
      <c r="E322" s="62"/>
    </row>
    <row r="323" spans="5:5" ht="15.75" customHeight="1">
      <c r="E323" s="62"/>
    </row>
    <row r="324" spans="5:5" ht="15.75" customHeight="1">
      <c r="E324" s="62"/>
    </row>
    <row r="325" spans="5:5" ht="15.75" customHeight="1">
      <c r="E325" s="62"/>
    </row>
    <row r="326" spans="5:5" ht="15.75" customHeight="1">
      <c r="E326" s="62"/>
    </row>
    <row r="327" spans="5:5" ht="15.75" customHeight="1">
      <c r="E327" s="62"/>
    </row>
    <row r="328" spans="5:5" ht="15.75" customHeight="1">
      <c r="E328" s="62"/>
    </row>
    <row r="329" spans="5:5" ht="15.75" customHeight="1">
      <c r="E329" s="62"/>
    </row>
    <row r="330" spans="5:5" ht="15.75" customHeight="1">
      <c r="E330" s="62"/>
    </row>
    <row r="331" spans="5:5" ht="15.75" customHeight="1">
      <c r="E331" s="62"/>
    </row>
    <row r="332" spans="5:5" ht="15.75" customHeight="1">
      <c r="E332" s="62"/>
    </row>
    <row r="333" spans="5:5" ht="15.75" customHeight="1">
      <c r="E333" s="62"/>
    </row>
    <row r="334" spans="5:5" ht="15.75" customHeight="1">
      <c r="E334" s="62"/>
    </row>
    <row r="335" spans="5:5" ht="15.75" customHeight="1">
      <c r="E335" s="62"/>
    </row>
    <row r="336" spans="5:5" ht="15.75" customHeight="1">
      <c r="E336" s="62"/>
    </row>
    <row r="337" spans="5:5" ht="15.75" customHeight="1">
      <c r="E337" s="62"/>
    </row>
    <row r="338" spans="5:5" ht="15.75" customHeight="1">
      <c r="E338" s="62"/>
    </row>
    <row r="339" spans="5:5" ht="15.75" customHeight="1">
      <c r="E339" s="62"/>
    </row>
    <row r="340" spans="5:5" ht="15.75" customHeight="1">
      <c r="E340" s="62"/>
    </row>
    <row r="341" spans="5:5" ht="15.75" customHeight="1">
      <c r="E341" s="62"/>
    </row>
    <row r="342" spans="5:5" ht="15.75" customHeight="1">
      <c r="E342" s="62"/>
    </row>
    <row r="343" spans="5:5" ht="15.75" customHeight="1">
      <c r="E343" s="62"/>
    </row>
    <row r="344" spans="5:5" ht="15.75" customHeight="1">
      <c r="E344" s="62"/>
    </row>
    <row r="345" spans="5:5" ht="15.75" customHeight="1">
      <c r="E345" s="62"/>
    </row>
    <row r="346" spans="5:5" ht="15.75" customHeight="1">
      <c r="E346" s="62"/>
    </row>
    <row r="347" spans="5:5" ht="15.75" customHeight="1">
      <c r="E347" s="62"/>
    </row>
    <row r="348" spans="5:5" ht="15.75" customHeight="1">
      <c r="E348" s="62"/>
    </row>
    <row r="349" spans="5:5" ht="15.75" customHeight="1">
      <c r="E349" s="62"/>
    </row>
    <row r="350" spans="5:5" ht="15.75" customHeight="1">
      <c r="E350" s="62"/>
    </row>
    <row r="351" spans="5:5" ht="15.75" customHeight="1">
      <c r="E351" s="62"/>
    </row>
    <row r="352" spans="5:5" ht="15.75" customHeight="1">
      <c r="E352" s="62"/>
    </row>
    <row r="353" spans="5:5" ht="15.75" customHeight="1">
      <c r="E353" s="62"/>
    </row>
    <row r="354" spans="5:5" ht="15.75" customHeight="1">
      <c r="E354" s="62"/>
    </row>
    <row r="355" spans="5:5" ht="15.75" customHeight="1">
      <c r="E355" s="62"/>
    </row>
    <row r="356" spans="5:5" ht="15.75" customHeight="1">
      <c r="E356" s="62"/>
    </row>
    <row r="357" spans="5:5" ht="15.75" customHeight="1">
      <c r="E357" s="62"/>
    </row>
    <row r="358" spans="5:5" ht="15.75" customHeight="1">
      <c r="E358" s="62"/>
    </row>
    <row r="359" spans="5:5" ht="15.75" customHeight="1">
      <c r="E359" s="62"/>
    </row>
    <row r="360" spans="5:5" ht="15.75" customHeight="1">
      <c r="E360" s="62"/>
    </row>
    <row r="361" spans="5:5" ht="15.75" customHeight="1">
      <c r="E361" s="62"/>
    </row>
    <row r="362" spans="5:5" ht="15.75" customHeight="1">
      <c r="E362" s="62"/>
    </row>
    <row r="363" spans="5:5" ht="15.75" customHeight="1">
      <c r="E363" s="62"/>
    </row>
    <row r="364" spans="5:5" ht="15.75" customHeight="1">
      <c r="E364" s="62"/>
    </row>
    <row r="365" spans="5:5" ht="15.75" customHeight="1">
      <c r="E365" s="62"/>
    </row>
    <row r="366" spans="5:5" ht="15.75" customHeight="1">
      <c r="E366" s="62"/>
    </row>
    <row r="367" spans="5:5" ht="15.75" customHeight="1">
      <c r="E367" s="62"/>
    </row>
    <row r="368" spans="5:5" ht="15.75" customHeight="1">
      <c r="E368" s="62"/>
    </row>
    <row r="369" spans="5:5" ht="15.75" customHeight="1">
      <c r="E369" s="62"/>
    </row>
    <row r="370" spans="5:5" ht="15.75" customHeight="1">
      <c r="E370" s="62"/>
    </row>
    <row r="371" spans="5:5" ht="15.75" customHeight="1">
      <c r="E371" s="62"/>
    </row>
    <row r="372" spans="5:5" ht="15.75" customHeight="1">
      <c r="E372" s="62"/>
    </row>
    <row r="373" spans="5:5" ht="15.75" customHeight="1">
      <c r="E373" s="62"/>
    </row>
    <row r="374" spans="5:5" ht="15.75" customHeight="1">
      <c r="E374" s="62"/>
    </row>
    <row r="375" spans="5:5" ht="15.75" customHeight="1">
      <c r="E375" s="62"/>
    </row>
    <row r="376" spans="5:5" ht="15.75" customHeight="1">
      <c r="E376" s="62"/>
    </row>
    <row r="377" spans="5:5" ht="15.75" customHeight="1">
      <c r="E377" s="62"/>
    </row>
    <row r="378" spans="5:5" ht="15.75" customHeight="1">
      <c r="E378" s="62"/>
    </row>
    <row r="379" spans="5:5" ht="15.75" customHeight="1">
      <c r="E379" s="62"/>
    </row>
    <row r="380" spans="5:5" ht="15.75" customHeight="1">
      <c r="E380" s="62"/>
    </row>
    <row r="381" spans="5:5" ht="15.75" customHeight="1">
      <c r="E381" s="62"/>
    </row>
    <row r="382" spans="5:5" ht="15.75" customHeight="1">
      <c r="E382" s="62"/>
    </row>
    <row r="383" spans="5:5" ht="15.75" customHeight="1">
      <c r="E383" s="62"/>
    </row>
    <row r="384" spans="5:5" ht="15.75" customHeight="1">
      <c r="E384" s="62"/>
    </row>
    <row r="385" spans="5:5" ht="15.75" customHeight="1">
      <c r="E385" s="62"/>
    </row>
    <row r="386" spans="5:5" ht="15.75" customHeight="1">
      <c r="E386" s="62"/>
    </row>
    <row r="387" spans="5:5" ht="15.75" customHeight="1">
      <c r="E387" s="62"/>
    </row>
    <row r="388" spans="5:5" ht="15.75" customHeight="1">
      <c r="E388" s="62"/>
    </row>
    <row r="389" spans="5:5" ht="15.75" customHeight="1">
      <c r="E389" s="62"/>
    </row>
    <row r="390" spans="5:5" ht="15.75" customHeight="1">
      <c r="E390" s="62"/>
    </row>
    <row r="391" spans="5:5" ht="15.75" customHeight="1">
      <c r="E391" s="62"/>
    </row>
    <row r="392" spans="5:5" ht="15.75" customHeight="1">
      <c r="E392" s="62"/>
    </row>
    <row r="393" spans="5:5" ht="15.75" customHeight="1">
      <c r="E393" s="62"/>
    </row>
    <row r="394" spans="5:5" ht="15.75" customHeight="1">
      <c r="E394" s="62"/>
    </row>
    <row r="395" spans="5:5" ht="15.75" customHeight="1">
      <c r="E395" s="62"/>
    </row>
    <row r="396" spans="5:5" ht="15.75" customHeight="1">
      <c r="E396" s="62"/>
    </row>
    <row r="397" spans="5:5" ht="15.75" customHeight="1">
      <c r="E397" s="62"/>
    </row>
    <row r="398" spans="5:5" ht="15.75" customHeight="1">
      <c r="E398" s="62"/>
    </row>
    <row r="399" spans="5:5" ht="15.75" customHeight="1">
      <c r="E399" s="62"/>
    </row>
    <row r="400" spans="5:5" ht="15.75" customHeight="1">
      <c r="E400" s="62"/>
    </row>
    <row r="401" spans="5:5" ht="15.75" customHeight="1">
      <c r="E401" s="62"/>
    </row>
    <row r="402" spans="5:5" ht="15.75" customHeight="1">
      <c r="E402" s="62"/>
    </row>
    <row r="403" spans="5:5" ht="15.75" customHeight="1">
      <c r="E403" s="62"/>
    </row>
    <row r="404" spans="5:5" ht="15.75" customHeight="1">
      <c r="E404" s="62"/>
    </row>
    <row r="405" spans="5:5" ht="15.75" customHeight="1">
      <c r="E405" s="62"/>
    </row>
    <row r="406" spans="5:5" ht="15.75" customHeight="1">
      <c r="E406" s="62"/>
    </row>
    <row r="407" spans="5:5" ht="15.75" customHeight="1">
      <c r="E407" s="62"/>
    </row>
    <row r="408" spans="5:5" ht="15.75" customHeight="1">
      <c r="E408" s="62"/>
    </row>
    <row r="409" spans="5:5" ht="15.75" customHeight="1">
      <c r="E409" s="62"/>
    </row>
    <row r="410" spans="5:5" ht="15.75" customHeight="1">
      <c r="E410" s="62"/>
    </row>
    <row r="411" spans="5:5" ht="15.75" customHeight="1">
      <c r="E411" s="62"/>
    </row>
    <row r="412" spans="5:5" ht="15.75" customHeight="1">
      <c r="E412" s="62"/>
    </row>
    <row r="413" spans="5:5" ht="15.75" customHeight="1">
      <c r="E413" s="62"/>
    </row>
    <row r="414" spans="5:5" ht="15.75" customHeight="1">
      <c r="E414" s="62"/>
    </row>
    <row r="415" spans="5:5" ht="15.75" customHeight="1">
      <c r="E415" s="62"/>
    </row>
    <row r="416" spans="5:5" ht="15.75" customHeight="1">
      <c r="E416" s="62"/>
    </row>
    <row r="417" spans="5:5" ht="15.75" customHeight="1">
      <c r="E417" s="62"/>
    </row>
    <row r="418" spans="5:5" ht="15.75" customHeight="1">
      <c r="E418" s="62"/>
    </row>
    <row r="419" spans="5:5" ht="15.75" customHeight="1">
      <c r="E419" s="62"/>
    </row>
    <row r="420" spans="5:5" ht="15.75" customHeight="1">
      <c r="E420" s="62"/>
    </row>
    <row r="421" spans="5:5" ht="15.75" customHeight="1">
      <c r="E421" s="62"/>
    </row>
    <row r="422" spans="5:5" ht="15.75" customHeight="1">
      <c r="E422" s="62"/>
    </row>
    <row r="423" spans="5:5" ht="15.75" customHeight="1">
      <c r="E423" s="62"/>
    </row>
    <row r="424" spans="5:5" ht="15.75" customHeight="1">
      <c r="E424" s="62"/>
    </row>
    <row r="425" spans="5:5" ht="15.75" customHeight="1">
      <c r="E425" s="62"/>
    </row>
    <row r="426" spans="5:5" ht="15.75" customHeight="1">
      <c r="E426" s="62"/>
    </row>
    <row r="427" spans="5:5" ht="15.75" customHeight="1">
      <c r="E427" s="62"/>
    </row>
    <row r="428" spans="5:5" ht="15.75" customHeight="1">
      <c r="E428" s="62"/>
    </row>
    <row r="429" spans="5:5" ht="15.75" customHeight="1">
      <c r="E429" s="62"/>
    </row>
    <row r="430" spans="5:5" ht="15.75" customHeight="1">
      <c r="E430" s="62"/>
    </row>
    <row r="431" spans="5:5" ht="15.75" customHeight="1">
      <c r="E431" s="62"/>
    </row>
    <row r="432" spans="5:5" ht="15.75" customHeight="1">
      <c r="E432" s="62"/>
    </row>
    <row r="433" spans="5:5" ht="15.75" customHeight="1">
      <c r="E433" s="62"/>
    </row>
    <row r="434" spans="5:5" ht="15.75" customHeight="1">
      <c r="E434" s="62"/>
    </row>
    <row r="435" spans="5:5" ht="15.75" customHeight="1">
      <c r="E435" s="62"/>
    </row>
    <row r="436" spans="5:5" ht="15.75" customHeight="1">
      <c r="E436" s="62"/>
    </row>
    <row r="437" spans="5:5" ht="15.75" customHeight="1">
      <c r="E437" s="62"/>
    </row>
    <row r="438" spans="5:5" ht="15.75" customHeight="1">
      <c r="E438" s="62"/>
    </row>
    <row r="439" spans="5:5" ht="15.75" customHeight="1">
      <c r="E439" s="62"/>
    </row>
    <row r="440" spans="5:5" ht="15.75" customHeight="1">
      <c r="E440" s="62"/>
    </row>
    <row r="441" spans="5:5" ht="15.75" customHeight="1">
      <c r="E441" s="62"/>
    </row>
    <row r="442" spans="5:5" ht="15.75" customHeight="1">
      <c r="E442" s="62"/>
    </row>
    <row r="443" spans="5:5" ht="15.75" customHeight="1">
      <c r="E443" s="62"/>
    </row>
    <row r="444" spans="5:5" ht="15.75" customHeight="1">
      <c r="E444" s="62"/>
    </row>
    <row r="445" spans="5:5" ht="15.75" customHeight="1">
      <c r="E445" s="62"/>
    </row>
    <row r="446" spans="5:5" ht="15.75" customHeight="1">
      <c r="E446" s="62"/>
    </row>
    <row r="447" spans="5:5" ht="15.75" customHeight="1">
      <c r="E447" s="62"/>
    </row>
    <row r="448" spans="5:5" ht="15.75" customHeight="1">
      <c r="E448" s="62"/>
    </row>
    <row r="449" spans="5:5" ht="15.75" customHeight="1">
      <c r="E449" s="62"/>
    </row>
    <row r="450" spans="5:5" ht="15.75" customHeight="1">
      <c r="E450" s="62"/>
    </row>
    <row r="451" spans="5:5" ht="15.75" customHeight="1">
      <c r="E451" s="62"/>
    </row>
    <row r="452" spans="5:5" ht="15.75" customHeight="1">
      <c r="E452" s="62"/>
    </row>
    <row r="453" spans="5:5" ht="15.75" customHeight="1">
      <c r="E453" s="62"/>
    </row>
    <row r="454" spans="5:5" ht="15.75" customHeight="1">
      <c r="E454" s="62"/>
    </row>
    <row r="455" spans="5:5" ht="15.75" customHeight="1">
      <c r="E455" s="62"/>
    </row>
    <row r="456" spans="5:5" ht="15.75" customHeight="1">
      <c r="E456" s="62"/>
    </row>
    <row r="457" spans="5:5" ht="15.75" customHeight="1">
      <c r="E457" s="62"/>
    </row>
    <row r="458" spans="5:5" ht="15.75" customHeight="1">
      <c r="E458" s="62"/>
    </row>
    <row r="459" spans="5:5" ht="15.75" customHeight="1">
      <c r="E459" s="62"/>
    </row>
    <row r="460" spans="5:5" ht="15.75" customHeight="1">
      <c r="E460" s="62"/>
    </row>
    <row r="461" spans="5:5" ht="15.75" customHeight="1">
      <c r="E461" s="62"/>
    </row>
    <row r="462" spans="5:5" ht="15.75" customHeight="1">
      <c r="E462" s="62"/>
    </row>
    <row r="463" spans="5:5" ht="15.75" customHeight="1">
      <c r="E463" s="62"/>
    </row>
    <row r="464" spans="5:5" ht="15.75" customHeight="1">
      <c r="E464" s="62"/>
    </row>
    <row r="465" spans="5:5" ht="15.75" customHeight="1">
      <c r="E465" s="62"/>
    </row>
    <row r="466" spans="5:5" ht="15.75" customHeight="1">
      <c r="E466" s="62"/>
    </row>
    <row r="467" spans="5:5" ht="15.75" customHeight="1">
      <c r="E467" s="62"/>
    </row>
    <row r="468" spans="5:5" ht="15.75" customHeight="1">
      <c r="E468" s="62"/>
    </row>
    <row r="469" spans="5:5" ht="15.75" customHeight="1">
      <c r="E469" s="62"/>
    </row>
    <row r="470" spans="5:5" ht="15.75" customHeight="1">
      <c r="E470" s="62"/>
    </row>
    <row r="471" spans="5:5" ht="15.75" customHeight="1">
      <c r="E471" s="62"/>
    </row>
    <row r="472" spans="5:5" ht="15.75" customHeight="1">
      <c r="E472" s="62"/>
    </row>
    <row r="473" spans="5:5" ht="15.75" customHeight="1">
      <c r="E473" s="62"/>
    </row>
    <row r="474" spans="5:5" ht="15.75" customHeight="1">
      <c r="E474" s="62"/>
    </row>
    <row r="475" spans="5:5" ht="15.75" customHeight="1">
      <c r="E475" s="62"/>
    </row>
    <row r="476" spans="5:5" ht="15.75" customHeight="1">
      <c r="E476" s="62"/>
    </row>
    <row r="477" spans="5:5" ht="15.75" customHeight="1">
      <c r="E477" s="62"/>
    </row>
    <row r="478" spans="5:5" ht="15.75" customHeight="1">
      <c r="E478" s="62"/>
    </row>
    <row r="479" spans="5:5" ht="15.75" customHeight="1">
      <c r="E479" s="62"/>
    </row>
    <row r="480" spans="5:5" ht="15.75" customHeight="1">
      <c r="E480" s="62"/>
    </row>
    <row r="481" spans="5:5" ht="15.75" customHeight="1">
      <c r="E481" s="62"/>
    </row>
    <row r="482" spans="5:5" ht="15.75" customHeight="1">
      <c r="E482" s="62"/>
    </row>
    <row r="483" spans="5:5" ht="15.75" customHeight="1">
      <c r="E483" s="62"/>
    </row>
    <row r="484" spans="5:5" ht="15.75" customHeight="1">
      <c r="E484" s="62"/>
    </row>
    <row r="485" spans="5:5" ht="15.75" customHeight="1">
      <c r="E485" s="62"/>
    </row>
    <row r="486" spans="5:5" ht="15.75" customHeight="1">
      <c r="E486" s="62"/>
    </row>
    <row r="487" spans="5:5" ht="15.75" customHeight="1">
      <c r="E487" s="62"/>
    </row>
    <row r="488" spans="5:5" ht="15.75" customHeight="1">
      <c r="E488" s="62"/>
    </row>
    <row r="489" spans="5:5" ht="15.75" customHeight="1">
      <c r="E489" s="62"/>
    </row>
    <row r="490" spans="5:5" ht="15.75" customHeight="1">
      <c r="E490" s="62"/>
    </row>
    <row r="491" spans="5:5" ht="15.75" customHeight="1">
      <c r="E491" s="62"/>
    </row>
    <row r="492" spans="5:5" ht="15.75" customHeight="1">
      <c r="E492" s="62"/>
    </row>
    <row r="493" spans="5:5" ht="15.75" customHeight="1">
      <c r="E493" s="62"/>
    </row>
    <row r="494" spans="5:5" ht="15.75" customHeight="1">
      <c r="E494" s="62"/>
    </row>
    <row r="495" spans="5:5" ht="15.75" customHeight="1">
      <c r="E495" s="62"/>
    </row>
    <row r="496" spans="5:5" ht="15.75" customHeight="1">
      <c r="E496" s="62"/>
    </row>
    <row r="497" spans="5:5" ht="15.75" customHeight="1">
      <c r="E497" s="62"/>
    </row>
    <row r="498" spans="5:5" ht="15.75" customHeight="1">
      <c r="E498" s="62"/>
    </row>
    <row r="499" spans="5:5" ht="15.75" customHeight="1">
      <c r="E499" s="62"/>
    </row>
    <row r="500" spans="5:5" ht="15.75" customHeight="1">
      <c r="E500" s="62"/>
    </row>
    <row r="501" spans="5:5" ht="15.75" customHeight="1">
      <c r="E501" s="62"/>
    </row>
    <row r="502" spans="5:5" ht="15.75" customHeight="1">
      <c r="E502" s="62"/>
    </row>
    <row r="503" spans="5:5" ht="15.75" customHeight="1">
      <c r="E503" s="62"/>
    </row>
    <row r="504" spans="5:5" ht="15.75" customHeight="1">
      <c r="E504" s="62"/>
    </row>
    <row r="505" spans="5:5" ht="15.75" customHeight="1">
      <c r="E505" s="62"/>
    </row>
    <row r="506" spans="5:5" ht="15.75" customHeight="1">
      <c r="E506" s="62"/>
    </row>
    <row r="507" spans="5:5" ht="15.75" customHeight="1">
      <c r="E507" s="62"/>
    </row>
    <row r="508" spans="5:5" ht="15.75" customHeight="1">
      <c r="E508" s="62"/>
    </row>
    <row r="509" spans="5:5" ht="15.75" customHeight="1">
      <c r="E509" s="62"/>
    </row>
    <row r="510" spans="5:5" ht="15.75" customHeight="1">
      <c r="E510" s="62"/>
    </row>
    <row r="511" spans="5:5" ht="15.75" customHeight="1">
      <c r="E511" s="62"/>
    </row>
    <row r="512" spans="5:5" ht="15.75" customHeight="1">
      <c r="E512" s="62"/>
    </row>
    <row r="513" spans="5:5" ht="15.75" customHeight="1">
      <c r="E513" s="62"/>
    </row>
    <row r="514" spans="5:5" ht="15.75" customHeight="1">
      <c r="E514" s="62"/>
    </row>
    <row r="515" spans="5:5" ht="15.75" customHeight="1">
      <c r="E515" s="62"/>
    </row>
    <row r="516" spans="5:5" ht="15.75" customHeight="1">
      <c r="E516" s="62"/>
    </row>
    <row r="517" spans="5:5" ht="15.75" customHeight="1">
      <c r="E517" s="62"/>
    </row>
    <row r="518" spans="5:5" ht="15.75" customHeight="1">
      <c r="E518" s="62"/>
    </row>
    <row r="519" spans="5:5" ht="15.75" customHeight="1">
      <c r="E519" s="62"/>
    </row>
    <row r="520" spans="5:5" ht="15.75" customHeight="1">
      <c r="E520" s="62"/>
    </row>
    <row r="521" spans="5:5" ht="15.75" customHeight="1">
      <c r="E521" s="62"/>
    </row>
    <row r="522" spans="5:5" ht="15.75" customHeight="1">
      <c r="E522" s="62"/>
    </row>
    <row r="523" spans="5:5" ht="15.75" customHeight="1">
      <c r="E523" s="62"/>
    </row>
    <row r="524" spans="5:5" ht="15.75" customHeight="1">
      <c r="E524" s="62"/>
    </row>
    <row r="525" spans="5:5" ht="15.75" customHeight="1">
      <c r="E525" s="62"/>
    </row>
    <row r="526" spans="5:5" ht="15.75" customHeight="1">
      <c r="E526" s="62"/>
    </row>
    <row r="527" spans="5:5" ht="15.75" customHeight="1">
      <c r="E527" s="62"/>
    </row>
    <row r="528" spans="5:5" ht="15.75" customHeight="1">
      <c r="E528" s="62"/>
    </row>
    <row r="529" spans="5:5" ht="15.75" customHeight="1">
      <c r="E529" s="62"/>
    </row>
    <row r="530" spans="5:5" ht="15.75" customHeight="1">
      <c r="E530" s="62"/>
    </row>
    <row r="531" spans="5:5" ht="15.75" customHeight="1">
      <c r="E531" s="62"/>
    </row>
    <row r="532" spans="5:5" ht="15.75" customHeight="1">
      <c r="E532" s="62"/>
    </row>
    <row r="533" spans="5:5" ht="15.75" customHeight="1">
      <c r="E533" s="62"/>
    </row>
    <row r="534" spans="5:5" ht="15.75" customHeight="1">
      <c r="E534" s="62"/>
    </row>
    <row r="535" spans="5:5" ht="15.75" customHeight="1">
      <c r="E535" s="62"/>
    </row>
    <row r="536" spans="5:5" ht="15.75" customHeight="1">
      <c r="E536" s="62"/>
    </row>
    <row r="537" spans="5:5" ht="15.75" customHeight="1">
      <c r="E537" s="62"/>
    </row>
    <row r="538" spans="5:5" ht="15.75" customHeight="1">
      <c r="E538" s="62"/>
    </row>
    <row r="539" spans="5:5" ht="15.75" customHeight="1">
      <c r="E539" s="62"/>
    </row>
    <row r="540" spans="5:5" ht="15.75" customHeight="1">
      <c r="E540" s="62"/>
    </row>
    <row r="541" spans="5:5" ht="15.75" customHeight="1">
      <c r="E541" s="62"/>
    </row>
    <row r="542" spans="5:5" ht="15.75" customHeight="1">
      <c r="E542" s="62"/>
    </row>
    <row r="543" spans="5:5" ht="15.75" customHeight="1">
      <c r="E543" s="62"/>
    </row>
    <row r="544" spans="5:5" ht="15.75" customHeight="1">
      <c r="E544" s="62"/>
    </row>
    <row r="545" spans="5:5" ht="15.75" customHeight="1">
      <c r="E545" s="62"/>
    </row>
    <row r="546" spans="5:5" ht="15.75" customHeight="1">
      <c r="E546" s="62"/>
    </row>
    <row r="547" spans="5:5" ht="15.75" customHeight="1">
      <c r="E547" s="62"/>
    </row>
    <row r="548" spans="5:5" ht="15.75" customHeight="1">
      <c r="E548" s="62"/>
    </row>
    <row r="549" spans="5:5" ht="15.75" customHeight="1">
      <c r="E549" s="62"/>
    </row>
    <row r="550" spans="5:5" ht="15.75" customHeight="1">
      <c r="E550" s="62"/>
    </row>
    <row r="551" spans="5:5" ht="15.75" customHeight="1">
      <c r="E551" s="62"/>
    </row>
    <row r="552" spans="5:5" ht="15.75" customHeight="1">
      <c r="E552" s="62"/>
    </row>
    <row r="553" spans="5:5" ht="15.75" customHeight="1">
      <c r="E553" s="62"/>
    </row>
    <row r="554" spans="5:5" ht="15.75" customHeight="1">
      <c r="E554" s="62"/>
    </row>
    <row r="555" spans="5:5" ht="15.75" customHeight="1">
      <c r="E555" s="62"/>
    </row>
    <row r="556" spans="5:5" ht="15.75" customHeight="1">
      <c r="E556" s="62"/>
    </row>
    <row r="557" spans="5:5" ht="15.75" customHeight="1">
      <c r="E557" s="62"/>
    </row>
    <row r="558" spans="5:5" ht="15.75" customHeight="1">
      <c r="E558" s="62"/>
    </row>
    <row r="559" spans="5:5" ht="15.75" customHeight="1">
      <c r="E559" s="62"/>
    </row>
    <row r="560" spans="5:5" ht="15.75" customHeight="1">
      <c r="E560" s="62"/>
    </row>
    <row r="561" spans="5:5" ht="15.75" customHeight="1">
      <c r="E561" s="62"/>
    </row>
    <row r="562" spans="5:5" ht="15.75" customHeight="1">
      <c r="E562" s="62"/>
    </row>
    <row r="563" spans="5:5" ht="15.75" customHeight="1">
      <c r="E563" s="62"/>
    </row>
    <row r="564" spans="5:5" ht="15.75" customHeight="1">
      <c r="E564" s="62"/>
    </row>
    <row r="565" spans="5:5" ht="15.75" customHeight="1">
      <c r="E565" s="62"/>
    </row>
    <row r="566" spans="5:5" ht="15.75" customHeight="1">
      <c r="E566" s="62"/>
    </row>
    <row r="567" spans="5:5" ht="15.75" customHeight="1">
      <c r="E567" s="62"/>
    </row>
    <row r="568" spans="5:5" ht="15.75" customHeight="1">
      <c r="E568" s="62"/>
    </row>
    <row r="569" spans="5:5" ht="15.75" customHeight="1">
      <c r="E569" s="62"/>
    </row>
    <row r="570" spans="5:5" ht="15.75" customHeight="1">
      <c r="E570" s="62"/>
    </row>
    <row r="571" spans="5:5" ht="15.75" customHeight="1">
      <c r="E571" s="62"/>
    </row>
    <row r="572" spans="5:5" ht="15.75" customHeight="1">
      <c r="E572" s="62"/>
    </row>
    <row r="573" spans="5:5" ht="15.75" customHeight="1">
      <c r="E573" s="62"/>
    </row>
    <row r="574" spans="5:5" ht="15.75" customHeight="1">
      <c r="E574" s="62"/>
    </row>
    <row r="575" spans="5:5" ht="15.75" customHeight="1">
      <c r="E575" s="62"/>
    </row>
    <row r="576" spans="5:5" ht="15.75" customHeight="1">
      <c r="E576" s="62"/>
    </row>
    <row r="577" spans="5:5" ht="15.75" customHeight="1">
      <c r="E577" s="62"/>
    </row>
    <row r="578" spans="5:5" ht="15.75" customHeight="1">
      <c r="E578" s="62"/>
    </row>
    <row r="579" spans="5:5" ht="15.75" customHeight="1">
      <c r="E579" s="62"/>
    </row>
    <row r="580" spans="5:5" ht="15.75" customHeight="1">
      <c r="E580" s="62"/>
    </row>
    <row r="581" spans="5:5" ht="15.75" customHeight="1">
      <c r="E581" s="62"/>
    </row>
    <row r="582" spans="5:5" ht="15.75" customHeight="1">
      <c r="E582" s="62"/>
    </row>
    <row r="583" spans="5:5" ht="15.75" customHeight="1">
      <c r="E583" s="62"/>
    </row>
    <row r="584" spans="5:5" ht="15.75" customHeight="1">
      <c r="E584" s="62"/>
    </row>
    <row r="585" spans="5:5" ht="15.75" customHeight="1">
      <c r="E585" s="62"/>
    </row>
    <row r="586" spans="5:5" ht="15.75" customHeight="1">
      <c r="E586" s="62"/>
    </row>
    <row r="587" spans="5:5" ht="15.75" customHeight="1">
      <c r="E587" s="62"/>
    </row>
    <row r="588" spans="5:5" ht="15.75" customHeight="1">
      <c r="E588" s="62"/>
    </row>
    <row r="589" spans="5:5" ht="15.75" customHeight="1">
      <c r="E589" s="62"/>
    </row>
    <row r="590" spans="5:5" ht="15.75" customHeight="1">
      <c r="E590" s="62"/>
    </row>
    <row r="591" spans="5:5" ht="15.75" customHeight="1">
      <c r="E591" s="62"/>
    </row>
    <row r="592" spans="5:5" ht="15.75" customHeight="1">
      <c r="E592" s="62"/>
    </row>
    <row r="593" spans="5:5" ht="15.75" customHeight="1">
      <c r="E593" s="62"/>
    </row>
    <row r="594" spans="5:5" ht="15.75" customHeight="1">
      <c r="E594" s="62"/>
    </row>
    <row r="595" spans="5:5" ht="15.75" customHeight="1">
      <c r="E595" s="62"/>
    </row>
    <row r="596" spans="5:5" ht="15.75" customHeight="1">
      <c r="E596" s="62"/>
    </row>
    <row r="597" spans="5:5" ht="15.75" customHeight="1">
      <c r="E597" s="62"/>
    </row>
    <row r="598" spans="5:5" ht="15.75" customHeight="1">
      <c r="E598" s="62"/>
    </row>
    <row r="599" spans="5:5" ht="15.75" customHeight="1">
      <c r="E599" s="62"/>
    </row>
    <row r="600" spans="5:5" ht="15.75" customHeight="1">
      <c r="E600" s="62"/>
    </row>
    <row r="601" spans="5:5" ht="15.75" customHeight="1">
      <c r="E601" s="62"/>
    </row>
    <row r="602" spans="5:5" ht="15.75" customHeight="1">
      <c r="E602" s="62"/>
    </row>
    <row r="603" spans="5:5" ht="15.75" customHeight="1">
      <c r="E603" s="62"/>
    </row>
    <row r="604" spans="5:5" ht="15.75" customHeight="1">
      <c r="E604" s="62"/>
    </row>
    <row r="605" spans="5:5" ht="15.75" customHeight="1">
      <c r="E605" s="62"/>
    </row>
    <row r="606" spans="5:5" ht="15.75" customHeight="1">
      <c r="E606" s="62"/>
    </row>
    <row r="607" spans="5:5" ht="15.75" customHeight="1">
      <c r="E607" s="62"/>
    </row>
    <row r="608" spans="5:5" ht="15.75" customHeight="1">
      <c r="E608" s="62"/>
    </row>
    <row r="609" spans="5:5" ht="15.75" customHeight="1">
      <c r="E609" s="62"/>
    </row>
    <row r="610" spans="5:5" ht="15.75" customHeight="1">
      <c r="E610" s="62"/>
    </row>
    <row r="611" spans="5:5" ht="15.75" customHeight="1">
      <c r="E611" s="62"/>
    </row>
    <row r="612" spans="5:5" ht="15.75" customHeight="1">
      <c r="E612" s="62"/>
    </row>
    <row r="613" spans="5:5" ht="15.75" customHeight="1">
      <c r="E613" s="62"/>
    </row>
    <row r="614" spans="5:5" ht="15.75" customHeight="1">
      <c r="E614" s="62"/>
    </row>
    <row r="615" spans="5:5" ht="15.75" customHeight="1">
      <c r="E615" s="62"/>
    </row>
    <row r="616" spans="5:5" ht="15.75" customHeight="1">
      <c r="E616" s="62"/>
    </row>
    <row r="617" spans="5:5" ht="15.75" customHeight="1">
      <c r="E617" s="62"/>
    </row>
    <row r="618" spans="5:5" ht="15.75" customHeight="1">
      <c r="E618" s="62"/>
    </row>
    <row r="619" spans="5:5" ht="15.75" customHeight="1">
      <c r="E619" s="62"/>
    </row>
    <row r="620" spans="5:5" ht="15.75" customHeight="1">
      <c r="E620" s="62"/>
    </row>
    <row r="621" spans="5:5" ht="15.75" customHeight="1">
      <c r="E621" s="62"/>
    </row>
    <row r="622" spans="5:5" ht="15.75" customHeight="1">
      <c r="E622" s="62"/>
    </row>
    <row r="623" spans="5:5" ht="15.75" customHeight="1">
      <c r="E623" s="62"/>
    </row>
    <row r="624" spans="5:5" ht="15.75" customHeight="1">
      <c r="E624" s="62"/>
    </row>
    <row r="625" spans="5:5" ht="15.75" customHeight="1">
      <c r="E625" s="62"/>
    </row>
    <row r="626" spans="5:5" ht="15.75" customHeight="1">
      <c r="E626" s="62"/>
    </row>
    <row r="627" spans="5:5" ht="15.75" customHeight="1">
      <c r="E627" s="62"/>
    </row>
    <row r="628" spans="5:5" ht="15.75" customHeight="1">
      <c r="E628" s="62"/>
    </row>
    <row r="629" spans="5:5" ht="15.75" customHeight="1">
      <c r="E629" s="62"/>
    </row>
    <row r="630" spans="5:5" ht="15.75" customHeight="1">
      <c r="E630" s="62"/>
    </row>
    <row r="631" spans="5:5" ht="15.75" customHeight="1">
      <c r="E631" s="62"/>
    </row>
    <row r="632" spans="5:5" ht="15.75" customHeight="1">
      <c r="E632" s="62"/>
    </row>
    <row r="633" spans="5:5" ht="15.75" customHeight="1">
      <c r="E633" s="62"/>
    </row>
    <row r="634" spans="5:5" ht="15.75" customHeight="1">
      <c r="E634" s="62"/>
    </row>
    <row r="635" spans="5:5" ht="15.75" customHeight="1">
      <c r="E635" s="62"/>
    </row>
    <row r="636" spans="5:5" ht="15.75" customHeight="1">
      <c r="E636" s="62"/>
    </row>
    <row r="637" spans="5:5" ht="15.75" customHeight="1">
      <c r="E637" s="62"/>
    </row>
    <row r="638" spans="5:5" ht="15.75" customHeight="1">
      <c r="E638" s="62"/>
    </row>
    <row r="639" spans="5:5" ht="15.75" customHeight="1">
      <c r="E639" s="62"/>
    </row>
    <row r="640" spans="5:5" ht="15.75" customHeight="1">
      <c r="E640" s="62"/>
    </row>
    <row r="641" spans="5:5" ht="15.75" customHeight="1">
      <c r="E641" s="62"/>
    </row>
    <row r="642" spans="5:5" ht="15.75" customHeight="1">
      <c r="E642" s="62"/>
    </row>
    <row r="643" spans="5:5" ht="15.75" customHeight="1">
      <c r="E643" s="62"/>
    </row>
    <row r="644" spans="5:5" ht="15.75" customHeight="1">
      <c r="E644" s="62"/>
    </row>
    <row r="645" spans="5:5" ht="15.75" customHeight="1">
      <c r="E645" s="62"/>
    </row>
    <row r="646" spans="5:5" ht="15.75" customHeight="1">
      <c r="E646" s="62"/>
    </row>
    <row r="647" spans="5:5" ht="15.75" customHeight="1">
      <c r="E647" s="62"/>
    </row>
    <row r="648" spans="5:5" ht="15.75" customHeight="1">
      <c r="E648" s="62"/>
    </row>
    <row r="649" spans="5:5" ht="15.75" customHeight="1">
      <c r="E649" s="62"/>
    </row>
    <row r="650" spans="5:5" ht="15.75" customHeight="1">
      <c r="E650" s="62"/>
    </row>
    <row r="651" spans="5:5" ht="15.75" customHeight="1">
      <c r="E651" s="62"/>
    </row>
    <row r="652" spans="5:5" ht="15.75" customHeight="1">
      <c r="E652" s="62"/>
    </row>
    <row r="653" spans="5:5" ht="15.75" customHeight="1">
      <c r="E653" s="62"/>
    </row>
    <row r="654" spans="5:5" ht="15.75" customHeight="1">
      <c r="E654" s="62"/>
    </row>
    <row r="655" spans="5:5" ht="15.75" customHeight="1">
      <c r="E655" s="62"/>
    </row>
    <row r="656" spans="5:5" ht="15.75" customHeight="1">
      <c r="E656" s="62"/>
    </row>
    <row r="657" spans="5:5" ht="15.75" customHeight="1">
      <c r="E657" s="62"/>
    </row>
    <row r="658" spans="5:5" ht="15.75" customHeight="1">
      <c r="E658" s="62"/>
    </row>
    <row r="659" spans="5:5" ht="15.75" customHeight="1">
      <c r="E659" s="62"/>
    </row>
    <row r="660" spans="5:5" ht="15.75" customHeight="1">
      <c r="E660" s="62"/>
    </row>
    <row r="661" spans="5:5" ht="15.75" customHeight="1">
      <c r="E661" s="62"/>
    </row>
    <row r="662" spans="5:5" ht="15.75" customHeight="1">
      <c r="E662" s="62"/>
    </row>
    <row r="663" spans="5:5" ht="15.75" customHeight="1">
      <c r="E663" s="62"/>
    </row>
    <row r="664" spans="5:5" ht="15.75" customHeight="1">
      <c r="E664" s="62"/>
    </row>
    <row r="665" spans="5:5" ht="15.75" customHeight="1">
      <c r="E665" s="62"/>
    </row>
    <row r="666" spans="5:5" ht="15.75" customHeight="1">
      <c r="E666" s="62"/>
    </row>
    <row r="667" spans="5:5" ht="15.75" customHeight="1">
      <c r="E667" s="62"/>
    </row>
    <row r="668" spans="5:5" ht="15.75" customHeight="1">
      <c r="E668" s="62"/>
    </row>
    <row r="669" spans="5:5" ht="15.75" customHeight="1">
      <c r="E669" s="62"/>
    </row>
    <row r="670" spans="5:5" ht="15.75" customHeight="1">
      <c r="E670" s="62"/>
    </row>
    <row r="671" spans="5:5" ht="15.75" customHeight="1">
      <c r="E671" s="62"/>
    </row>
    <row r="672" spans="5:5" ht="15.75" customHeight="1">
      <c r="E672" s="62"/>
    </row>
    <row r="673" spans="5:5" ht="15.75" customHeight="1">
      <c r="E673" s="62"/>
    </row>
    <row r="674" spans="5:5" ht="15.75" customHeight="1">
      <c r="E674" s="62"/>
    </row>
    <row r="675" spans="5:5" ht="15.75" customHeight="1">
      <c r="E675" s="62"/>
    </row>
    <row r="676" spans="5:5" ht="15.75" customHeight="1">
      <c r="E676" s="62"/>
    </row>
    <row r="677" spans="5:5" ht="15.75" customHeight="1">
      <c r="E677" s="62"/>
    </row>
    <row r="678" spans="5:5" ht="15.75" customHeight="1">
      <c r="E678" s="62"/>
    </row>
    <row r="679" spans="5:5" ht="15.75" customHeight="1">
      <c r="E679" s="62"/>
    </row>
    <row r="680" spans="5:5" ht="15.75" customHeight="1">
      <c r="E680" s="62"/>
    </row>
    <row r="681" spans="5:5" ht="15.75" customHeight="1">
      <c r="E681" s="62"/>
    </row>
    <row r="682" spans="5:5" ht="15.75" customHeight="1">
      <c r="E682" s="62"/>
    </row>
    <row r="683" spans="5:5" ht="15.75" customHeight="1">
      <c r="E683" s="62"/>
    </row>
    <row r="684" spans="5:5" ht="15.75" customHeight="1">
      <c r="E684" s="62"/>
    </row>
    <row r="685" spans="5:5" ht="15.75" customHeight="1">
      <c r="E685" s="62"/>
    </row>
    <row r="686" spans="5:5" ht="15.75" customHeight="1">
      <c r="E686" s="62"/>
    </row>
    <row r="687" spans="5:5" ht="15.75" customHeight="1">
      <c r="E687" s="62"/>
    </row>
    <row r="688" spans="5:5" ht="15.75" customHeight="1">
      <c r="E688" s="62"/>
    </row>
    <row r="689" spans="5:5" ht="15.75" customHeight="1">
      <c r="E689" s="62"/>
    </row>
    <row r="690" spans="5:5" ht="15.75" customHeight="1">
      <c r="E690" s="62"/>
    </row>
    <row r="691" spans="5:5" ht="15.75" customHeight="1">
      <c r="E691" s="62"/>
    </row>
    <row r="692" spans="5:5" ht="15.75" customHeight="1">
      <c r="E692" s="62"/>
    </row>
    <row r="693" spans="5:5" ht="15.75" customHeight="1">
      <c r="E693" s="62"/>
    </row>
    <row r="694" spans="5:5" ht="15.75" customHeight="1">
      <c r="E694" s="62"/>
    </row>
    <row r="695" spans="5:5" ht="15.75" customHeight="1">
      <c r="E695" s="62"/>
    </row>
    <row r="696" spans="5:5" ht="15.75" customHeight="1">
      <c r="E696" s="62"/>
    </row>
    <row r="697" spans="5:5" ht="15.75" customHeight="1">
      <c r="E697" s="62"/>
    </row>
    <row r="698" spans="5:5" ht="15.75" customHeight="1">
      <c r="E698" s="62"/>
    </row>
    <row r="699" spans="5:5" ht="15.75" customHeight="1">
      <c r="E699" s="62"/>
    </row>
    <row r="700" spans="5:5" ht="15.75" customHeight="1">
      <c r="E700" s="62"/>
    </row>
    <row r="701" spans="5:5" ht="15.75" customHeight="1">
      <c r="E701" s="62"/>
    </row>
    <row r="702" spans="5:5" ht="15.75" customHeight="1">
      <c r="E702" s="62"/>
    </row>
    <row r="703" spans="5:5" ht="15.75" customHeight="1">
      <c r="E703" s="62"/>
    </row>
    <row r="704" spans="5:5" ht="15.75" customHeight="1">
      <c r="E704" s="62"/>
    </row>
    <row r="705" spans="5:5" ht="15.75" customHeight="1">
      <c r="E705" s="62"/>
    </row>
    <row r="706" spans="5:5" ht="15.75" customHeight="1">
      <c r="E706" s="62"/>
    </row>
    <row r="707" spans="5:5" ht="15.75" customHeight="1">
      <c r="E707" s="62"/>
    </row>
    <row r="708" spans="5:5" ht="15.75" customHeight="1">
      <c r="E708" s="62"/>
    </row>
    <row r="709" spans="5:5" ht="15.75" customHeight="1">
      <c r="E709" s="62"/>
    </row>
    <row r="710" spans="5:5" ht="15.75" customHeight="1">
      <c r="E710" s="62"/>
    </row>
    <row r="711" spans="5:5" ht="15.75" customHeight="1">
      <c r="E711" s="62"/>
    </row>
    <row r="712" spans="5:5" ht="15.75" customHeight="1">
      <c r="E712" s="62"/>
    </row>
    <row r="713" spans="5:5" ht="15.75" customHeight="1">
      <c r="E713" s="62"/>
    </row>
    <row r="714" spans="5:5" ht="15.75" customHeight="1">
      <c r="E714" s="62"/>
    </row>
    <row r="715" spans="5:5" ht="15.75" customHeight="1">
      <c r="E715" s="62"/>
    </row>
    <row r="716" spans="5:5" ht="15.75" customHeight="1">
      <c r="E716" s="62"/>
    </row>
    <row r="717" spans="5:5" ht="15.75" customHeight="1">
      <c r="E717" s="62"/>
    </row>
    <row r="718" spans="5:5" ht="15.75" customHeight="1">
      <c r="E718" s="62"/>
    </row>
    <row r="719" spans="5:5" ht="15.75" customHeight="1">
      <c r="E719" s="62"/>
    </row>
    <row r="720" spans="5:5" ht="15.75" customHeight="1">
      <c r="E720" s="62"/>
    </row>
    <row r="721" spans="5:5" ht="15.75" customHeight="1">
      <c r="E721" s="62"/>
    </row>
    <row r="722" spans="5:5" ht="15.75" customHeight="1">
      <c r="E722" s="62"/>
    </row>
    <row r="723" spans="5:5" ht="15.75" customHeight="1">
      <c r="E723" s="62"/>
    </row>
    <row r="724" spans="5:5" ht="15.75" customHeight="1">
      <c r="E724" s="62"/>
    </row>
    <row r="725" spans="5:5" ht="15.75" customHeight="1">
      <c r="E725" s="62"/>
    </row>
    <row r="726" spans="5:5" ht="15.75" customHeight="1">
      <c r="E726" s="62"/>
    </row>
    <row r="727" spans="5:5" ht="15.75" customHeight="1">
      <c r="E727" s="62"/>
    </row>
    <row r="728" spans="5:5" ht="15.75" customHeight="1">
      <c r="E728" s="62"/>
    </row>
    <row r="729" spans="5:5" ht="15.75" customHeight="1">
      <c r="E729" s="62"/>
    </row>
    <row r="730" spans="5:5" ht="15.75" customHeight="1">
      <c r="E730" s="62"/>
    </row>
    <row r="731" spans="5:5" ht="15.75" customHeight="1">
      <c r="E731" s="62"/>
    </row>
    <row r="732" spans="5:5" ht="15.75" customHeight="1">
      <c r="E732" s="62"/>
    </row>
    <row r="733" spans="5:5" ht="15.75" customHeight="1">
      <c r="E733" s="62"/>
    </row>
    <row r="734" spans="5:5" ht="15.75" customHeight="1">
      <c r="E734" s="62"/>
    </row>
    <row r="735" spans="5:5" ht="15.75" customHeight="1">
      <c r="E735" s="62"/>
    </row>
    <row r="736" spans="5:5" ht="15.75" customHeight="1">
      <c r="E736" s="62"/>
    </row>
    <row r="737" spans="5:5" ht="15.75" customHeight="1">
      <c r="E737" s="62"/>
    </row>
    <row r="738" spans="5:5" ht="15.75" customHeight="1">
      <c r="E738" s="62"/>
    </row>
    <row r="739" spans="5:5" ht="15.75" customHeight="1">
      <c r="E739" s="62"/>
    </row>
    <row r="740" spans="5:5" ht="15.75" customHeight="1">
      <c r="E740" s="62"/>
    </row>
    <row r="741" spans="5:5" ht="15.75" customHeight="1">
      <c r="E741" s="62"/>
    </row>
    <row r="742" spans="5:5" ht="15.75" customHeight="1">
      <c r="E742" s="62"/>
    </row>
    <row r="743" spans="5:5" ht="15.75" customHeight="1">
      <c r="E743" s="62"/>
    </row>
    <row r="744" spans="5:5" ht="15.75" customHeight="1">
      <c r="E744" s="62"/>
    </row>
    <row r="745" spans="5:5" ht="15.75" customHeight="1">
      <c r="E745" s="62"/>
    </row>
    <row r="746" spans="5:5" ht="15.75" customHeight="1">
      <c r="E746" s="62"/>
    </row>
    <row r="747" spans="5:5" ht="15.75" customHeight="1">
      <c r="E747" s="62"/>
    </row>
    <row r="748" spans="5:5" ht="15.75" customHeight="1">
      <c r="E748" s="62"/>
    </row>
    <row r="749" spans="5:5" ht="15.75" customHeight="1">
      <c r="E749" s="62"/>
    </row>
    <row r="750" spans="5:5" ht="15.75" customHeight="1">
      <c r="E750" s="62"/>
    </row>
    <row r="751" spans="5:5" ht="15.75" customHeight="1">
      <c r="E751" s="62"/>
    </row>
    <row r="752" spans="5:5" ht="15.75" customHeight="1">
      <c r="E752" s="62"/>
    </row>
    <row r="753" spans="5:5" ht="15.75" customHeight="1">
      <c r="E753" s="62"/>
    </row>
    <row r="754" spans="5:5" ht="15.75" customHeight="1">
      <c r="E754" s="62"/>
    </row>
    <row r="755" spans="5:5" ht="15.75" customHeight="1">
      <c r="E755" s="62"/>
    </row>
    <row r="756" spans="5:5" ht="15.75" customHeight="1">
      <c r="E756" s="62"/>
    </row>
    <row r="757" spans="5:5" ht="15.75" customHeight="1">
      <c r="E757" s="62"/>
    </row>
    <row r="758" spans="5:5" ht="15.75" customHeight="1">
      <c r="E758" s="62"/>
    </row>
    <row r="759" spans="5:5" ht="15.75" customHeight="1">
      <c r="E759" s="62"/>
    </row>
    <row r="760" spans="5:5" ht="15.75" customHeight="1">
      <c r="E760" s="62"/>
    </row>
    <row r="761" spans="5:5" ht="15.75" customHeight="1">
      <c r="E761" s="62"/>
    </row>
    <row r="762" spans="5:5" ht="15.75" customHeight="1">
      <c r="E762" s="62"/>
    </row>
    <row r="763" spans="5:5" ht="15.75" customHeight="1">
      <c r="E763" s="62"/>
    </row>
    <row r="764" spans="5:5" ht="15.75" customHeight="1">
      <c r="E764" s="62"/>
    </row>
    <row r="765" spans="5:5" ht="15.75" customHeight="1">
      <c r="E765" s="62"/>
    </row>
    <row r="766" spans="5:5" ht="15.75" customHeight="1">
      <c r="E766" s="62"/>
    </row>
    <row r="767" spans="5:5" ht="15.75" customHeight="1">
      <c r="E767" s="62"/>
    </row>
    <row r="768" spans="5:5" ht="15.75" customHeight="1">
      <c r="E768" s="62"/>
    </row>
    <row r="769" spans="5:5" ht="15.75" customHeight="1">
      <c r="E769" s="62"/>
    </row>
    <row r="770" spans="5:5" ht="15.75" customHeight="1">
      <c r="E770" s="62"/>
    </row>
    <row r="771" spans="5:5" ht="15.75" customHeight="1">
      <c r="E771" s="62"/>
    </row>
    <row r="772" spans="5:5" ht="15.75" customHeight="1">
      <c r="E772" s="62"/>
    </row>
    <row r="773" spans="5:5" ht="15.75" customHeight="1">
      <c r="E773" s="62"/>
    </row>
    <row r="774" spans="5:5" ht="15.75" customHeight="1">
      <c r="E774" s="62"/>
    </row>
    <row r="775" spans="5:5" ht="15.75" customHeight="1">
      <c r="E775" s="62"/>
    </row>
    <row r="776" spans="5:5" ht="15.75" customHeight="1">
      <c r="E776" s="62"/>
    </row>
    <row r="777" spans="5:5" ht="15.75" customHeight="1">
      <c r="E777" s="62"/>
    </row>
    <row r="778" spans="5:5" ht="15.75" customHeight="1">
      <c r="E778" s="62"/>
    </row>
    <row r="779" spans="5:5" ht="15.75" customHeight="1">
      <c r="E779" s="62"/>
    </row>
    <row r="780" spans="5:5" ht="15.75" customHeight="1">
      <c r="E780" s="62"/>
    </row>
    <row r="781" spans="5:5" ht="15.75" customHeight="1">
      <c r="E781" s="62"/>
    </row>
    <row r="782" spans="5:5" ht="15.75" customHeight="1">
      <c r="E782" s="62"/>
    </row>
    <row r="783" spans="5:5" ht="15.75" customHeight="1">
      <c r="E783" s="62"/>
    </row>
    <row r="784" spans="5:5" ht="15.75" customHeight="1">
      <c r="E784" s="62"/>
    </row>
    <row r="785" spans="5:5" ht="15.75" customHeight="1">
      <c r="E785" s="62"/>
    </row>
    <row r="786" spans="5:5" ht="15.75" customHeight="1">
      <c r="E786" s="62"/>
    </row>
    <row r="787" spans="5:5" ht="15.75" customHeight="1">
      <c r="E787" s="62"/>
    </row>
    <row r="788" spans="5:5" ht="15.75" customHeight="1">
      <c r="E788" s="62"/>
    </row>
    <row r="789" spans="5:5" ht="15.75" customHeight="1">
      <c r="E789" s="62"/>
    </row>
    <row r="790" spans="5:5" ht="15.75" customHeight="1">
      <c r="E790" s="62"/>
    </row>
    <row r="791" spans="5:5" ht="15.75" customHeight="1">
      <c r="E791" s="62"/>
    </row>
    <row r="792" spans="5:5" ht="15.75" customHeight="1">
      <c r="E792" s="62"/>
    </row>
    <row r="793" spans="5:5" ht="15.75" customHeight="1">
      <c r="E793" s="62"/>
    </row>
    <row r="794" spans="5:5" ht="15.75" customHeight="1">
      <c r="E794" s="62"/>
    </row>
    <row r="795" spans="5:5" ht="15.75" customHeight="1">
      <c r="E795" s="62"/>
    </row>
    <row r="796" spans="5:5" ht="15.75" customHeight="1">
      <c r="E796" s="62"/>
    </row>
    <row r="797" spans="5:5" ht="15.75" customHeight="1">
      <c r="E797" s="62"/>
    </row>
    <row r="798" spans="5:5" ht="15.75" customHeight="1">
      <c r="E798" s="62"/>
    </row>
    <row r="799" spans="5:5" ht="15.75" customHeight="1">
      <c r="E799" s="62"/>
    </row>
    <row r="800" spans="5:5" ht="15.75" customHeight="1">
      <c r="E800" s="62"/>
    </row>
    <row r="801" spans="5:5" ht="15.75" customHeight="1">
      <c r="E801" s="62"/>
    </row>
    <row r="802" spans="5:5" ht="15.75" customHeight="1">
      <c r="E802" s="62"/>
    </row>
    <row r="803" spans="5:5" ht="15.75" customHeight="1">
      <c r="E803" s="62"/>
    </row>
    <row r="804" spans="5:5" ht="15.75" customHeight="1">
      <c r="E804" s="62"/>
    </row>
    <row r="805" spans="5:5" ht="15.75" customHeight="1">
      <c r="E805" s="62"/>
    </row>
    <row r="806" spans="5:5" ht="15.75" customHeight="1">
      <c r="E806" s="62"/>
    </row>
    <row r="807" spans="5:5" ht="15.75" customHeight="1">
      <c r="E807" s="62"/>
    </row>
    <row r="808" spans="5:5" ht="15.75" customHeight="1">
      <c r="E808" s="62"/>
    </row>
    <row r="809" spans="5:5" ht="15.75" customHeight="1">
      <c r="E809" s="62"/>
    </row>
    <row r="810" spans="5:5" ht="15.75" customHeight="1">
      <c r="E810" s="62"/>
    </row>
    <row r="811" spans="5:5" ht="15.75" customHeight="1">
      <c r="E811" s="62"/>
    </row>
    <row r="812" spans="5:5" ht="15.75" customHeight="1">
      <c r="E812" s="62"/>
    </row>
    <row r="813" spans="5:5" ht="15.75" customHeight="1">
      <c r="E813" s="62"/>
    </row>
    <row r="814" spans="5:5" ht="15.75" customHeight="1">
      <c r="E814" s="62"/>
    </row>
    <row r="815" spans="5:5" ht="15.75" customHeight="1">
      <c r="E815" s="62"/>
    </row>
    <row r="816" spans="5:5" ht="15.75" customHeight="1">
      <c r="E816" s="62"/>
    </row>
    <row r="817" spans="5:5" ht="15.75" customHeight="1">
      <c r="E817" s="62"/>
    </row>
    <row r="818" spans="5:5" ht="15.75" customHeight="1">
      <c r="E818" s="62"/>
    </row>
    <row r="819" spans="5:5" ht="15.75" customHeight="1">
      <c r="E819" s="62"/>
    </row>
    <row r="820" spans="5:5" ht="15.75" customHeight="1">
      <c r="E820" s="62"/>
    </row>
    <row r="821" spans="5:5" ht="15.75" customHeight="1">
      <c r="E821" s="62"/>
    </row>
    <row r="822" spans="5:5" ht="15.75" customHeight="1">
      <c r="E822" s="62"/>
    </row>
    <row r="823" spans="5:5" ht="15.75" customHeight="1">
      <c r="E823" s="62"/>
    </row>
    <row r="824" spans="5:5" ht="15.75" customHeight="1">
      <c r="E824" s="62"/>
    </row>
    <row r="825" spans="5:5" ht="15.75" customHeight="1">
      <c r="E825" s="62"/>
    </row>
    <row r="826" spans="5:5" ht="15.75" customHeight="1">
      <c r="E826" s="62"/>
    </row>
    <row r="827" spans="5:5" ht="15.75" customHeight="1">
      <c r="E827" s="62"/>
    </row>
    <row r="828" spans="5:5" ht="15.75" customHeight="1">
      <c r="E828" s="62"/>
    </row>
    <row r="829" spans="5:5" ht="15.75" customHeight="1">
      <c r="E829" s="62"/>
    </row>
    <row r="830" spans="5:5" ht="15.75" customHeight="1">
      <c r="E830" s="62"/>
    </row>
    <row r="831" spans="5:5" ht="15.75" customHeight="1">
      <c r="E831" s="62"/>
    </row>
    <row r="832" spans="5:5" ht="15.75" customHeight="1">
      <c r="E832" s="62"/>
    </row>
    <row r="833" spans="5:5" ht="15.75" customHeight="1">
      <c r="E833" s="62"/>
    </row>
    <row r="834" spans="5:5" ht="15.75" customHeight="1">
      <c r="E834" s="62"/>
    </row>
    <row r="835" spans="5:5" ht="15.75" customHeight="1">
      <c r="E835" s="62"/>
    </row>
    <row r="836" spans="5:5" ht="15.75" customHeight="1">
      <c r="E836" s="62"/>
    </row>
    <row r="837" spans="5:5" ht="15.75" customHeight="1">
      <c r="E837" s="62"/>
    </row>
    <row r="838" spans="5:5" ht="15.75" customHeight="1">
      <c r="E838" s="62"/>
    </row>
    <row r="839" spans="5:5" ht="15.75" customHeight="1">
      <c r="E839" s="62"/>
    </row>
    <row r="840" spans="5:5" ht="15.75" customHeight="1">
      <c r="E840" s="62"/>
    </row>
    <row r="841" spans="5:5" ht="15.75" customHeight="1">
      <c r="E841" s="62"/>
    </row>
    <row r="842" spans="5:5" ht="15.75" customHeight="1">
      <c r="E842" s="62"/>
    </row>
    <row r="843" spans="5:5" ht="15.75" customHeight="1">
      <c r="E843" s="62"/>
    </row>
    <row r="844" spans="5:5" ht="15.75" customHeight="1">
      <c r="E844" s="62"/>
    </row>
    <row r="845" spans="5:5" ht="15.75" customHeight="1">
      <c r="E845" s="62"/>
    </row>
    <row r="846" spans="5:5" ht="15.75" customHeight="1">
      <c r="E846" s="62"/>
    </row>
    <row r="847" spans="5:5" ht="15.75" customHeight="1">
      <c r="E847" s="62"/>
    </row>
    <row r="848" spans="5:5" ht="15.75" customHeight="1">
      <c r="E848" s="62"/>
    </row>
    <row r="849" spans="5:5" ht="15.75" customHeight="1">
      <c r="E849" s="62"/>
    </row>
    <row r="850" spans="5:5" ht="15.75" customHeight="1">
      <c r="E850" s="62"/>
    </row>
    <row r="851" spans="5:5" ht="15.75" customHeight="1">
      <c r="E851" s="62"/>
    </row>
    <row r="852" spans="5:5" ht="15.75" customHeight="1">
      <c r="E852" s="62"/>
    </row>
    <row r="853" spans="5:5" ht="15.75" customHeight="1">
      <c r="E853" s="62"/>
    </row>
    <row r="854" spans="5:5" ht="15.75" customHeight="1">
      <c r="E854" s="62"/>
    </row>
    <row r="855" spans="5:5" ht="15.75" customHeight="1">
      <c r="E855" s="62"/>
    </row>
    <row r="856" spans="5:5" ht="15.75" customHeight="1">
      <c r="E856" s="62"/>
    </row>
    <row r="857" spans="5:5" ht="15.75" customHeight="1">
      <c r="E857" s="62"/>
    </row>
    <row r="858" spans="5:5" ht="15.75" customHeight="1">
      <c r="E858" s="62"/>
    </row>
    <row r="859" spans="5:5" ht="15.75" customHeight="1">
      <c r="E859" s="62"/>
    </row>
    <row r="860" spans="5:5" ht="15.75" customHeight="1">
      <c r="E860" s="62"/>
    </row>
    <row r="861" spans="5:5" ht="15.75" customHeight="1">
      <c r="E861" s="62"/>
    </row>
    <row r="862" spans="5:5" ht="15.75" customHeight="1">
      <c r="E862" s="62"/>
    </row>
    <row r="863" spans="5:5" ht="15.75" customHeight="1">
      <c r="E863" s="62"/>
    </row>
    <row r="864" spans="5:5" ht="15.75" customHeight="1">
      <c r="E864" s="62"/>
    </row>
    <row r="865" spans="5:5" ht="15.75" customHeight="1">
      <c r="E865" s="62"/>
    </row>
    <row r="866" spans="5:5" ht="15.75" customHeight="1">
      <c r="E866" s="62"/>
    </row>
    <row r="867" spans="5:5" ht="15.75" customHeight="1">
      <c r="E867" s="62"/>
    </row>
    <row r="868" spans="5:5" ht="15.75" customHeight="1">
      <c r="E868" s="62"/>
    </row>
    <row r="869" spans="5:5" ht="15.75" customHeight="1">
      <c r="E869" s="62"/>
    </row>
    <row r="870" spans="5:5" ht="15.75" customHeight="1">
      <c r="E870" s="62"/>
    </row>
    <row r="871" spans="5:5" ht="15.75" customHeight="1">
      <c r="E871" s="62"/>
    </row>
    <row r="872" spans="5:5" ht="15.75" customHeight="1">
      <c r="E872" s="62"/>
    </row>
    <row r="873" spans="5:5" ht="15.75" customHeight="1">
      <c r="E873" s="62"/>
    </row>
    <row r="874" spans="5:5" ht="15.75" customHeight="1">
      <c r="E874" s="62"/>
    </row>
    <row r="875" spans="5:5" ht="15.75" customHeight="1">
      <c r="E875" s="62"/>
    </row>
    <row r="876" spans="5:5" ht="15.75" customHeight="1">
      <c r="E876" s="62"/>
    </row>
    <row r="877" spans="5:5" ht="15.75" customHeight="1">
      <c r="E877" s="62"/>
    </row>
    <row r="878" spans="5:5" ht="15.75" customHeight="1">
      <c r="E878" s="62"/>
    </row>
    <row r="879" spans="5:5" ht="15.75" customHeight="1">
      <c r="E879" s="62"/>
    </row>
    <row r="880" spans="5:5" ht="15.75" customHeight="1">
      <c r="E880" s="62"/>
    </row>
    <row r="881" spans="5:5" ht="15.75" customHeight="1">
      <c r="E881" s="62"/>
    </row>
    <row r="882" spans="5:5" ht="15.75" customHeight="1">
      <c r="E882" s="62"/>
    </row>
    <row r="883" spans="5:5" ht="15.75" customHeight="1">
      <c r="E883" s="62"/>
    </row>
    <row r="884" spans="5:5" ht="15.75" customHeight="1">
      <c r="E884" s="62"/>
    </row>
    <row r="885" spans="5:5" ht="15.75" customHeight="1">
      <c r="E885" s="62"/>
    </row>
    <row r="886" spans="5:5" ht="15.75" customHeight="1">
      <c r="E886" s="62"/>
    </row>
    <row r="887" spans="5:5" ht="15.75" customHeight="1">
      <c r="E887" s="62"/>
    </row>
    <row r="888" spans="5:5" ht="15.75" customHeight="1">
      <c r="E888" s="62"/>
    </row>
    <row r="889" spans="5:5" ht="15.75" customHeight="1">
      <c r="E889" s="62"/>
    </row>
    <row r="890" spans="5:5" ht="15.75" customHeight="1">
      <c r="E890" s="62"/>
    </row>
    <row r="891" spans="5:5" ht="15.75" customHeight="1">
      <c r="E891" s="62"/>
    </row>
    <row r="892" spans="5:5" ht="15.75" customHeight="1">
      <c r="E892" s="62"/>
    </row>
    <row r="893" spans="5:5" ht="15.75" customHeight="1">
      <c r="E893" s="62"/>
    </row>
    <row r="894" spans="5:5" ht="15.75" customHeight="1">
      <c r="E894" s="62"/>
    </row>
    <row r="895" spans="5:5" ht="15.75" customHeight="1">
      <c r="E895" s="62"/>
    </row>
    <row r="896" spans="5:5" ht="15.75" customHeight="1">
      <c r="E896" s="62"/>
    </row>
    <row r="897" spans="5:5" ht="15.75" customHeight="1">
      <c r="E897" s="62"/>
    </row>
    <row r="898" spans="5:5" ht="15.75" customHeight="1">
      <c r="E898" s="62"/>
    </row>
    <row r="899" spans="5:5" ht="15.75" customHeight="1">
      <c r="E899" s="62"/>
    </row>
    <row r="900" spans="5:5" ht="15.75" customHeight="1">
      <c r="E900" s="62"/>
    </row>
    <row r="901" spans="5:5" ht="15.75" customHeight="1">
      <c r="E901" s="62"/>
    </row>
    <row r="902" spans="5:5" ht="15.75" customHeight="1">
      <c r="E902" s="62"/>
    </row>
    <row r="903" spans="5:5" ht="15.75" customHeight="1">
      <c r="E903" s="62"/>
    </row>
    <row r="904" spans="5:5" ht="15.75" customHeight="1">
      <c r="E904" s="62"/>
    </row>
    <row r="905" spans="5:5" ht="15.75" customHeight="1">
      <c r="E905" s="62"/>
    </row>
    <row r="906" spans="5:5" ht="15.75" customHeight="1">
      <c r="E906" s="62"/>
    </row>
    <row r="907" spans="5:5" ht="15.75" customHeight="1">
      <c r="E907" s="62"/>
    </row>
    <row r="908" spans="5:5" ht="15.75" customHeight="1">
      <c r="E908" s="62"/>
    </row>
    <row r="909" spans="5:5" ht="15.75" customHeight="1">
      <c r="E909" s="62"/>
    </row>
    <row r="910" spans="5:5" ht="15.75" customHeight="1">
      <c r="E910" s="62"/>
    </row>
    <row r="911" spans="5:5" ht="15.75" customHeight="1">
      <c r="E911" s="62"/>
    </row>
    <row r="912" spans="5:5" ht="15.75" customHeight="1">
      <c r="E912" s="62"/>
    </row>
    <row r="913" spans="5:5" ht="15.75" customHeight="1">
      <c r="E913" s="62"/>
    </row>
    <row r="914" spans="5:5" ht="15.75" customHeight="1">
      <c r="E914" s="62"/>
    </row>
    <row r="915" spans="5:5" ht="15.75" customHeight="1">
      <c r="E915" s="62"/>
    </row>
    <row r="916" spans="5:5" ht="15.75" customHeight="1">
      <c r="E916" s="62"/>
    </row>
    <row r="917" spans="5:5" ht="15.75" customHeight="1">
      <c r="E917" s="62"/>
    </row>
    <row r="918" spans="5:5" ht="15.75" customHeight="1">
      <c r="E918" s="62"/>
    </row>
    <row r="919" spans="5:5" ht="15.75" customHeight="1">
      <c r="E919" s="62"/>
    </row>
    <row r="920" spans="5:5" ht="15.75" customHeight="1">
      <c r="E920" s="62"/>
    </row>
    <row r="921" spans="5:5" ht="15.75" customHeight="1">
      <c r="E921" s="62"/>
    </row>
    <row r="922" spans="5:5" ht="15.75" customHeight="1">
      <c r="E922" s="62"/>
    </row>
    <row r="923" spans="5:5" ht="15.75" customHeight="1">
      <c r="E923" s="62"/>
    </row>
    <row r="924" spans="5:5" ht="15.75" customHeight="1">
      <c r="E924" s="62"/>
    </row>
    <row r="925" spans="5:5" ht="15.75" customHeight="1">
      <c r="E925" s="62"/>
    </row>
    <row r="926" spans="5:5" ht="15.75" customHeight="1">
      <c r="E926" s="62"/>
    </row>
    <row r="927" spans="5:5" ht="15.75" customHeight="1">
      <c r="E927" s="62"/>
    </row>
    <row r="928" spans="5:5" ht="15.75" customHeight="1">
      <c r="E928" s="62"/>
    </row>
    <row r="929" spans="5:5" ht="15.75" customHeight="1">
      <c r="E929" s="62"/>
    </row>
    <row r="930" spans="5:5" ht="15.75" customHeight="1">
      <c r="E930" s="62"/>
    </row>
    <row r="931" spans="5:5" ht="15.75" customHeight="1">
      <c r="E931" s="62"/>
    </row>
    <row r="932" spans="5:5" ht="15.75" customHeight="1">
      <c r="E932" s="62"/>
    </row>
    <row r="933" spans="5:5" ht="15.75" customHeight="1">
      <c r="E933" s="62"/>
    </row>
    <row r="934" spans="5:5" ht="15.75" customHeight="1">
      <c r="E934" s="62"/>
    </row>
    <row r="935" spans="5:5" ht="15.75" customHeight="1">
      <c r="E935" s="62"/>
    </row>
    <row r="936" spans="5:5" ht="15.75" customHeight="1">
      <c r="E936" s="62"/>
    </row>
    <row r="937" spans="5:5" ht="15.75" customHeight="1">
      <c r="E937" s="62"/>
    </row>
    <row r="938" spans="5:5" ht="15.75" customHeight="1">
      <c r="E938" s="62"/>
    </row>
    <row r="939" spans="5:5" ht="15.75" customHeight="1">
      <c r="E939" s="62"/>
    </row>
    <row r="940" spans="5:5" ht="15.75" customHeight="1">
      <c r="E940" s="62"/>
    </row>
    <row r="941" spans="5:5" ht="15.75" customHeight="1">
      <c r="E941" s="62"/>
    </row>
    <row r="942" spans="5:5" ht="15.75" customHeight="1">
      <c r="E942" s="62"/>
    </row>
    <row r="943" spans="5:5" ht="15.75" customHeight="1">
      <c r="E943" s="62"/>
    </row>
    <row r="944" spans="5:5" ht="15.75" customHeight="1">
      <c r="E944" s="62"/>
    </row>
    <row r="945" spans="5:5" ht="15.75" customHeight="1">
      <c r="E945" s="62"/>
    </row>
    <row r="946" spans="5:5" ht="15.75" customHeight="1">
      <c r="E946" s="62"/>
    </row>
    <row r="947" spans="5:5" ht="15.75" customHeight="1">
      <c r="E947" s="62"/>
    </row>
    <row r="948" spans="5:5" ht="15.75" customHeight="1">
      <c r="E948" s="62"/>
    </row>
    <row r="949" spans="5:5" ht="15.75" customHeight="1">
      <c r="E949" s="62"/>
    </row>
    <row r="950" spans="5:5" ht="15.75" customHeight="1">
      <c r="E950" s="62"/>
    </row>
    <row r="951" spans="5:5" ht="15.75" customHeight="1">
      <c r="E951" s="62"/>
    </row>
    <row r="952" spans="5:5" ht="15.75" customHeight="1">
      <c r="E952" s="62"/>
    </row>
    <row r="953" spans="5:5" ht="15.75" customHeight="1">
      <c r="E953" s="62"/>
    </row>
    <row r="954" spans="5:5" ht="15.75" customHeight="1">
      <c r="E954" s="62"/>
    </row>
    <row r="955" spans="5:5" ht="15.75" customHeight="1">
      <c r="E955" s="62"/>
    </row>
    <row r="956" spans="5:5" ht="15.75" customHeight="1">
      <c r="E956" s="62"/>
    </row>
    <row r="957" spans="5:5" ht="15.75" customHeight="1">
      <c r="E957" s="62"/>
    </row>
    <row r="958" spans="5:5" ht="15.75" customHeight="1">
      <c r="E958" s="62"/>
    </row>
    <row r="959" spans="5:5" ht="15.75" customHeight="1">
      <c r="E959" s="62"/>
    </row>
    <row r="960" spans="5:5" ht="15.75" customHeight="1">
      <c r="E960" s="62"/>
    </row>
    <row r="961" spans="5:5" ht="15.75" customHeight="1">
      <c r="E961" s="62"/>
    </row>
    <row r="962" spans="5:5" ht="15.75" customHeight="1">
      <c r="E962" s="62"/>
    </row>
    <row r="963" spans="5:5" ht="15.75" customHeight="1">
      <c r="E963" s="62"/>
    </row>
    <row r="964" spans="5:5" ht="15.75" customHeight="1">
      <c r="E964" s="62"/>
    </row>
    <row r="965" spans="5:5" ht="15.75" customHeight="1">
      <c r="E965" s="62"/>
    </row>
    <row r="966" spans="5:5" ht="15.75" customHeight="1">
      <c r="E966" s="62"/>
    </row>
    <row r="967" spans="5:5" ht="15.75" customHeight="1">
      <c r="E967" s="62"/>
    </row>
    <row r="968" spans="5:5" ht="15.75" customHeight="1">
      <c r="E968" s="62"/>
    </row>
    <row r="969" spans="5:5" ht="15.75" customHeight="1">
      <c r="E969" s="62"/>
    </row>
    <row r="970" spans="5:5" ht="15.75" customHeight="1">
      <c r="E970" s="62"/>
    </row>
    <row r="971" spans="5:5" ht="15.75" customHeight="1">
      <c r="E971" s="62"/>
    </row>
    <row r="972" spans="5:5" ht="15.75" customHeight="1">
      <c r="E972" s="62"/>
    </row>
    <row r="973" spans="5:5" ht="15.75" customHeight="1">
      <c r="E973" s="62"/>
    </row>
    <row r="974" spans="5:5" ht="15.75" customHeight="1">
      <c r="E974" s="62"/>
    </row>
    <row r="975" spans="5:5" ht="15.75" customHeight="1">
      <c r="E975" s="62"/>
    </row>
    <row r="976" spans="5:5" ht="15.75" customHeight="1">
      <c r="E976" s="62"/>
    </row>
    <row r="977" spans="5:5" ht="15.75" customHeight="1">
      <c r="E977" s="62"/>
    </row>
    <row r="978" spans="5:5" ht="15.75" customHeight="1">
      <c r="E978" s="62"/>
    </row>
    <row r="979" spans="5:5" ht="15.75" customHeight="1">
      <c r="E979" s="62"/>
    </row>
    <row r="980" spans="5:5" ht="15.75" customHeight="1">
      <c r="E980" s="62"/>
    </row>
    <row r="981" spans="5:5" ht="15.75" customHeight="1">
      <c r="E981" s="62"/>
    </row>
    <row r="982" spans="5:5" ht="15.75" customHeight="1">
      <c r="E982" s="62"/>
    </row>
    <row r="983" spans="5:5" ht="15.75" customHeight="1">
      <c r="E983" s="62"/>
    </row>
    <row r="984" spans="5:5" ht="15.75" customHeight="1">
      <c r="E984" s="62"/>
    </row>
    <row r="985" spans="5:5" ht="15.75" customHeight="1">
      <c r="E985" s="62"/>
    </row>
    <row r="986" spans="5:5" ht="15.75" customHeight="1">
      <c r="E986" s="62"/>
    </row>
    <row r="987" spans="5:5" ht="15.75" customHeight="1">
      <c r="E987" s="62"/>
    </row>
    <row r="988" spans="5:5" ht="15.75" customHeight="1">
      <c r="E988" s="62"/>
    </row>
    <row r="989" spans="5:5" ht="15.75" customHeight="1">
      <c r="E989" s="62"/>
    </row>
    <row r="990" spans="5:5" ht="15.75" customHeight="1">
      <c r="E990" s="62"/>
    </row>
    <row r="991" spans="5:5" ht="15.75" customHeight="1">
      <c r="E991" s="62"/>
    </row>
    <row r="992" spans="5:5" ht="15.75" customHeight="1">
      <c r="E992" s="62"/>
    </row>
    <row r="993" spans="5:5" ht="15.75" customHeight="1">
      <c r="E993" s="62"/>
    </row>
    <row r="994" spans="5:5" ht="15.75" customHeight="1">
      <c r="E994" s="62"/>
    </row>
    <row r="995" spans="5:5" ht="15.75" customHeight="1">
      <c r="E995" s="62"/>
    </row>
    <row r="996" spans="5:5" ht="15.75" customHeight="1">
      <c r="E996" s="62"/>
    </row>
    <row r="997" spans="5:5" ht="15.75" customHeight="1">
      <c r="E997" s="62"/>
    </row>
    <row r="998" spans="5:5" ht="15.75" customHeight="1">
      <c r="E998" s="62"/>
    </row>
    <row r="999" spans="5:5" ht="15.75" customHeight="1">
      <c r="E999" s="62"/>
    </row>
    <row r="1000" spans="5:5" ht="15.75" customHeight="1">
      <c r="E1000" s="6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Mining</vt:lpstr>
      <vt:lpstr>RestGen</vt:lpstr>
      <vt:lpstr>GHCreateOrganizationRepository</vt:lpstr>
      <vt:lpstr>GHGetOrganizationRepositories</vt:lpstr>
      <vt:lpstr>Hotel Search</vt:lpstr>
      <vt:lpstr>Marvel getComicById</vt:lpstr>
      <vt:lpstr>OMDB byIdOrTitle</vt:lpstr>
      <vt:lpstr>OMDB bySearch</vt:lpstr>
      <vt:lpstr>Spotify createPlaylist</vt:lpstr>
      <vt:lpstr>Spotify getAlbumTracks</vt:lpstr>
      <vt:lpstr>Spotify getArtistAlbums</vt:lpstr>
      <vt:lpstr>Yelp getBusinesses</vt:lpstr>
      <vt:lpstr>Youtube GetVideos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Tú</cp:lastModifiedBy>
  <dcterms:created xsi:type="dcterms:W3CDTF">2025-07-02T08:13:22Z</dcterms:created>
  <dcterms:modified xsi:type="dcterms:W3CDTF">2025-11-06T12:25:01Z</dcterms:modified>
</cp:coreProperties>
</file>